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VALUES" sheetId="1" r:id="rId5"/>
    <sheet state="visible" name="NSDP_CALCULATED" sheetId="2" r:id="rId6"/>
  </sheets>
  <definedNames>
    <definedName hidden="1" localSheetId="0" name="_xlnm._FilterDatabase">RAW_VALUES!$A$1:$Z$106</definedName>
  </definedNames>
  <calcPr/>
</workbook>
</file>

<file path=xl/sharedStrings.xml><?xml version="1.0" encoding="utf-8"?>
<sst xmlns="http://schemas.openxmlformats.org/spreadsheetml/2006/main" count="169" uniqueCount="60">
  <si>
    <t>State</t>
  </si>
  <si>
    <t>Year</t>
  </si>
  <si>
    <t>Total_Population(Thousands)</t>
  </si>
  <si>
    <t>Urban Population(Thousands)</t>
  </si>
  <si>
    <t>Population Density</t>
  </si>
  <si>
    <t>Labour Force Participation(Main+Marginal)*100/Population</t>
  </si>
  <si>
    <t>NSDP_constant_prices</t>
  </si>
  <si>
    <t>Social_Expenditure(Billions)</t>
  </si>
  <si>
    <t>Inter-State Migration</t>
  </si>
  <si>
    <t>Per_capita_NSDP_constant_prices</t>
  </si>
  <si>
    <t>Andaman and Nicobar Islands</t>
  </si>
  <si>
    <t>Andhra Pradesh</t>
  </si>
  <si>
    <t>Arunachal Pradesh</t>
  </si>
  <si>
    <t>Assam</t>
  </si>
  <si>
    <t>Bihar</t>
  </si>
  <si>
    <t>Chandigarh</t>
  </si>
  <si>
    <t>Chhattisgarh</t>
  </si>
  <si>
    <t/>
  </si>
  <si>
    <t>Dadra and Nagar Haveli</t>
  </si>
  <si>
    <t>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</si>
  <si>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</si>
  <si>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</si>
  <si>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</si>
  <si>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</si>
  <si>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</si>
  <si>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</si>
  <si>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</si>
  <si>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</si>
  <si>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</si>
  <si>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</si>
  <si>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</si>
  <si>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</si>
  <si>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</si>
  <si>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</si>
  <si>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</si>
  <si>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</si>
  <si>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</si>
  <si>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</si>
  <si>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</si>
  <si>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</si>
  <si>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</si>
  <si>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</si>
  <si>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</si>
  <si>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</si>
  <si>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</si>
  <si>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</si>
  <si>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 xml:space="preserve">1991-92 (Base: 1980-81)            
</t>
  </si>
  <si>
    <t xml:space="preserve">2001-02 (Base: 1999-00)                                 
</t>
  </si>
  <si>
    <t xml:space="preserve">2011-12 (Base: 2011-12)                                 
</t>
  </si>
  <si>
    <t>1991-92* d1</t>
  </si>
  <si>
    <t>2001-02* d2</t>
  </si>
  <si>
    <t>DEFLATOR</t>
  </si>
  <si>
    <t>A &amp; N Islands</t>
  </si>
  <si>
    <t>Per capita NNI at constant 2011-12 prices in 1980-81​</t>
  </si>
  <si>
    <t>Per capita NNI at current prices in 1980-81​</t>
  </si>
  <si>
    <t>d1</t>
  </si>
  <si>
    <t>Per capita NNI at constant 2011-12 prices in 1999-00​</t>
  </si>
  <si>
    <t>Per capita NNI at current prices in 1999-00​</t>
  </si>
  <si>
    <t>-</t>
  </si>
  <si>
    <t>d2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</si>
</sst>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General_)"/>
  </numFmts>
  <fonts count="7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8.0"/>
      <color theme="1"/>
      <name val="Arial"/>
    </font>
    <font>
      <b/>
      <color theme="1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/>
    </xf>
    <xf borderId="0" fillId="2" fontId="1" numFmtId="0" xfId="0" applyAlignment="1" applyFont="1">
      <alignment horizontal="right" vertical="bottom"/>
    </xf>
    <xf borderId="0" fillId="2" fontId="1" numFmtId="0" xfId="0" applyFont="1"/>
    <xf borderId="0" fillId="2" fontId="1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3" fontId="1" numFmtId="0" xfId="0" applyAlignment="1" applyFill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ont="1">
      <alignment vertical="bottom"/>
    </xf>
    <xf borderId="0" fillId="0" fontId="1" numFmtId="165" xfId="0" applyAlignment="1" applyFont="1" applyNumberFormat="1">
      <alignment horizontal="right" vertical="bottom"/>
    </xf>
    <xf borderId="0" fillId="2" fontId="1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3" fontId="1" numFmtId="0" xfId="0" applyAlignment="1" applyFont="1">
      <alignment horizontal="right" readingOrder="0" vertical="bottom"/>
    </xf>
    <xf borderId="0" fillId="0" fontId="5" numFmtId="0" xfId="0" applyAlignment="1" applyFont="1">
      <alignment vertical="center"/>
    </xf>
    <xf borderId="0" fillId="3" fontId="5" numFmtId="0" xfId="0" applyAlignment="1" applyFont="1">
      <alignment horizontal="center" readingOrder="0" vertical="center"/>
    </xf>
    <xf borderId="0" fillId="0" fontId="6" numFmtId="0" xfId="0" applyAlignment="1" applyFont="1">
      <alignment readingOrder="0"/>
    </xf>
    <xf borderId="0" fillId="3" fontId="3" numFmtId="0" xfId="0" applyAlignment="1" applyFont="1">
      <alignment horizontal="right" vertical="bottom"/>
    </xf>
    <xf borderId="0" fillId="0" fontId="2" numFmtId="0" xfId="0" applyFont="1"/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M1" s="3"/>
    </row>
    <row r="2">
      <c r="A2" s="4" t="s">
        <v>10</v>
      </c>
      <c r="B2" s="5">
        <v>1991.0</v>
      </c>
      <c r="C2" s="6">
        <v>281.0</v>
      </c>
      <c r="D2" s="6">
        <v>75.0</v>
      </c>
      <c r="E2" s="6">
        <v>34.0</v>
      </c>
      <c r="F2" s="5">
        <v>35.23859745</v>
      </c>
      <c r="G2" s="6">
        <v>6836.0</v>
      </c>
      <c r="H2" s="7"/>
      <c r="I2" s="6">
        <v>77923.0</v>
      </c>
      <c r="J2" s="8">
        <v>22996.98</v>
      </c>
      <c r="K2" s="9"/>
    </row>
    <row r="3">
      <c r="A3" s="2" t="s">
        <v>11</v>
      </c>
      <c r="B3" s="1">
        <v>1991.0</v>
      </c>
      <c r="C3" s="10">
        <v>66508.0</v>
      </c>
      <c r="D3" s="10">
        <v>17887.0</v>
      </c>
      <c r="E3" s="11">
        <v>242.0</v>
      </c>
      <c r="F3" s="1">
        <v>45.052692</v>
      </c>
      <c r="G3" s="11">
        <v>1434166.0</v>
      </c>
      <c r="H3" s="11">
        <v>31.2</v>
      </c>
      <c r="I3" s="10">
        <v>994141.0</v>
      </c>
      <c r="J3" s="12">
        <v>21318.66</v>
      </c>
      <c r="K3" s="9"/>
    </row>
    <row r="4">
      <c r="A4" s="2" t="s">
        <v>12</v>
      </c>
      <c r="B4" s="1">
        <v>1991.0</v>
      </c>
      <c r="C4" s="10">
        <v>865.0</v>
      </c>
      <c r="D4" s="10">
        <v>111.0</v>
      </c>
      <c r="E4" s="11">
        <v>10.0</v>
      </c>
      <c r="F4" s="1">
        <v>46.24120071</v>
      </c>
      <c r="G4" s="11">
        <v>26424.0</v>
      </c>
      <c r="H4" s="11">
        <v>1.4</v>
      </c>
      <c r="I4" s="10">
        <v>98653.0</v>
      </c>
      <c r="J4" s="10">
        <v>30099.87</v>
      </c>
      <c r="K4" s="9"/>
    </row>
    <row r="5">
      <c r="A5" s="2" t="s">
        <v>13</v>
      </c>
      <c r="B5" s="1">
        <v>1991.0</v>
      </c>
      <c r="C5" s="10">
        <v>22414.0</v>
      </c>
      <c r="D5" s="10">
        <v>2488.0</v>
      </c>
      <c r="E5" s="11">
        <v>286.0</v>
      </c>
      <c r="F5" s="1">
        <v>36.08824304</v>
      </c>
      <c r="G5" s="11">
        <v>357661.0</v>
      </c>
      <c r="H5" s="11">
        <v>11.1</v>
      </c>
      <c r="I5" s="10">
        <v>487761.0</v>
      </c>
      <c r="J5" s="12">
        <v>15734.25</v>
      </c>
      <c r="K5" s="9"/>
    </row>
    <row r="6">
      <c r="A6" s="2" t="s">
        <v>14</v>
      </c>
      <c r="B6" s="1">
        <v>1991.0</v>
      </c>
      <c r="C6" s="10">
        <v>64531.0</v>
      </c>
      <c r="D6" s="10">
        <v>6712.0</v>
      </c>
      <c r="E6" s="11">
        <v>685.0</v>
      </c>
      <c r="F6" s="1">
        <v>32.1588921</v>
      </c>
      <c r="G6" s="11">
        <v>967308.0</v>
      </c>
      <c r="H6" s="11">
        <v>30.7</v>
      </c>
      <c r="I6" s="10">
        <v>1031566.0</v>
      </c>
      <c r="J6" s="12">
        <v>11038.95</v>
      </c>
      <c r="K6" s="9"/>
    </row>
    <row r="7">
      <c r="A7" s="4" t="s">
        <v>15</v>
      </c>
      <c r="B7" s="5">
        <v>1991.0</v>
      </c>
      <c r="C7" s="6">
        <v>642.0</v>
      </c>
      <c r="D7" s="6">
        <v>576.0</v>
      </c>
      <c r="E7" s="6">
        <v>5632.0</v>
      </c>
      <c r="F7" s="5">
        <v>34.93594386</v>
      </c>
      <c r="G7" s="6"/>
      <c r="H7" s="7"/>
      <c r="I7" s="6">
        <v>392748.0</v>
      </c>
      <c r="J7" s="13"/>
      <c r="K7" s="9"/>
    </row>
    <row r="8">
      <c r="A8" s="4" t="s">
        <v>16</v>
      </c>
      <c r="B8" s="5">
        <v>1991.0</v>
      </c>
      <c r="C8" s="6">
        <v>17615.0</v>
      </c>
      <c r="D8" s="6">
        <v>3065.0</v>
      </c>
      <c r="E8" s="6">
        <v>130.0</v>
      </c>
      <c r="F8" s="5" t="s">
        <v>17</v>
      </c>
      <c r="G8" s="6"/>
      <c r="H8" s="6"/>
      <c r="I8" s="7"/>
      <c r="J8" s="13"/>
      <c r="K8" s="9"/>
    </row>
    <row r="9">
      <c r="A9" s="4" t="s">
        <v>18</v>
      </c>
      <c r="B9" s="5">
        <v>1991.0</v>
      </c>
      <c r="C9" s="6">
        <v>138.0</v>
      </c>
      <c r="D9" s="6">
        <v>12.0</v>
      </c>
      <c r="E9" s="6">
        <v>282.0</v>
      </c>
      <c r="F9" s="5">
        <v>53.24999819</v>
      </c>
      <c r="G9" s="4"/>
      <c r="H9" s="7"/>
      <c r="I9" s="6">
        <v>25603.0</v>
      </c>
      <c r="J9" s="7"/>
    </row>
    <row r="10">
      <c r="A10" s="4" t="s">
        <v>19</v>
      </c>
      <c r="B10" s="5">
        <v>1991.0</v>
      </c>
      <c r="C10" s="6">
        <v>102.0</v>
      </c>
      <c r="D10" s="6">
        <v>48.0</v>
      </c>
      <c r="E10" s="6">
        <v>907.0</v>
      </c>
      <c r="F10" s="5">
        <v>37.6272321</v>
      </c>
      <c r="G10" s="4"/>
      <c r="H10" s="7"/>
      <c r="I10" s="6">
        <v>19107.0</v>
      </c>
      <c r="J10" s="7"/>
    </row>
    <row r="11">
      <c r="A11" s="4" t="s">
        <v>20</v>
      </c>
      <c r="B11" s="5">
        <v>1991.0</v>
      </c>
      <c r="C11" s="6">
        <v>9421.0</v>
      </c>
      <c r="D11" s="6">
        <v>8472.0</v>
      </c>
      <c r="E11" s="6">
        <v>6352.0</v>
      </c>
      <c r="F11" s="5">
        <v>31.63755047</v>
      </c>
      <c r="G11" s="6">
        <v>581366.0</v>
      </c>
      <c r="H11" s="7"/>
      <c r="I11" s="6">
        <v>3268691.0</v>
      </c>
      <c r="J11" s="8">
        <v>60399.54</v>
      </c>
      <c r="K11" s="9"/>
    </row>
    <row r="12">
      <c r="A12" s="2" t="s">
        <v>21</v>
      </c>
      <c r="B12" s="1">
        <v>1991.0</v>
      </c>
      <c r="C12" s="10">
        <v>1170.0</v>
      </c>
      <c r="D12" s="10">
        <v>480.0</v>
      </c>
      <c r="E12" s="11">
        <v>316.0</v>
      </c>
      <c r="F12" s="1">
        <v>35.28282354</v>
      </c>
      <c r="G12" s="11">
        <v>56623.0</v>
      </c>
      <c r="H12" s="11">
        <v>1.8</v>
      </c>
      <c r="I12" s="10">
        <v>155576.0</v>
      </c>
      <c r="J12" s="12">
        <v>47812.14</v>
      </c>
      <c r="K12" s="9"/>
    </row>
    <row r="13">
      <c r="A13" s="2" t="s">
        <v>22</v>
      </c>
      <c r="B13" s="1">
        <v>1991.0</v>
      </c>
      <c r="C13" s="10">
        <v>41310.0</v>
      </c>
      <c r="D13" s="10">
        <v>14246.0</v>
      </c>
      <c r="E13" s="11">
        <v>211.0</v>
      </c>
      <c r="F13" s="1">
        <v>40.23405272</v>
      </c>
      <c r="G13" s="11">
        <v>994403.0</v>
      </c>
      <c r="H13" s="11">
        <v>23.4</v>
      </c>
      <c r="I13" s="10">
        <v>1465214.0</v>
      </c>
      <c r="J13" s="12">
        <v>23786.19</v>
      </c>
      <c r="K13" s="9"/>
    </row>
    <row r="14">
      <c r="A14" s="4" t="s">
        <v>23</v>
      </c>
      <c r="B14" s="5">
        <v>1991.0</v>
      </c>
      <c r="C14" s="6">
        <v>16464.0</v>
      </c>
      <c r="D14" s="6">
        <v>4055.0</v>
      </c>
      <c r="E14" s="6">
        <v>372.0</v>
      </c>
      <c r="F14" s="5">
        <v>30.99841542</v>
      </c>
      <c r="G14" s="6"/>
      <c r="H14" s="6">
        <v>7.8</v>
      </c>
      <c r="I14" s="6">
        <v>1579052.0</v>
      </c>
      <c r="J14" s="8">
        <v>34955.01</v>
      </c>
      <c r="K14" s="9"/>
    </row>
    <row r="15">
      <c r="A15" s="2" t="s">
        <v>24</v>
      </c>
      <c r="B15" s="1">
        <v>1991.0</v>
      </c>
      <c r="C15" s="10">
        <v>5171.0</v>
      </c>
      <c r="D15" s="10">
        <v>449.0</v>
      </c>
      <c r="E15" s="11">
        <v>93.0</v>
      </c>
      <c r="F15" s="1">
        <v>42.82405093</v>
      </c>
      <c r="G15" s="11">
        <v>115718.0</v>
      </c>
      <c r="H15" s="11">
        <v>5.0</v>
      </c>
      <c r="I15" s="10">
        <v>236830.0</v>
      </c>
      <c r="J15" s="10">
        <v>22107.87</v>
      </c>
      <c r="K15" s="9"/>
    </row>
    <row r="16">
      <c r="A16" s="4" t="s">
        <v>25</v>
      </c>
      <c r="B16" s="5">
        <v>1991.0</v>
      </c>
      <c r="C16" s="6">
        <v>7837.0</v>
      </c>
      <c r="D16" s="6">
        <v>1794.0</v>
      </c>
      <c r="E16" s="6">
        <v>77.0</v>
      </c>
      <c r="F16" s="5" t="s">
        <v>17</v>
      </c>
      <c r="G16" s="6">
        <v>139048.0</v>
      </c>
      <c r="H16" s="6">
        <v>7.3</v>
      </c>
      <c r="I16" s="7"/>
      <c r="J16" s="6">
        <v>17772.21</v>
      </c>
      <c r="K16" s="9"/>
    </row>
    <row r="17">
      <c r="A17" s="4" t="s">
        <v>26</v>
      </c>
      <c r="B17" s="5">
        <v>1991.0</v>
      </c>
      <c r="C17" s="6">
        <v>21844.0</v>
      </c>
      <c r="D17" s="6">
        <v>4641.0</v>
      </c>
      <c r="E17" s="6">
        <v>274.0</v>
      </c>
      <c r="F17" s="5" t="s">
        <v>17</v>
      </c>
      <c r="G17" s="6"/>
      <c r="H17" s="6"/>
      <c r="I17" s="7"/>
      <c r="J17" s="4"/>
      <c r="K17" s="9"/>
    </row>
    <row r="18">
      <c r="A18" s="2" t="s">
        <v>27</v>
      </c>
      <c r="B18" s="1">
        <v>1991.0</v>
      </c>
      <c r="C18" s="10">
        <v>44977.0</v>
      </c>
      <c r="D18" s="10">
        <v>13908.0</v>
      </c>
      <c r="E18" s="11">
        <v>235.0</v>
      </c>
      <c r="F18" s="1">
        <v>41.9919372</v>
      </c>
      <c r="G18" s="11">
        <v>1026985.0</v>
      </c>
      <c r="H18" s="11">
        <v>23.0</v>
      </c>
      <c r="I18" s="14">
        <v>1600231.0</v>
      </c>
      <c r="J18" s="10">
        <v>22597.38</v>
      </c>
      <c r="K18" s="9"/>
    </row>
    <row r="19">
      <c r="A19" s="2" t="s">
        <v>28</v>
      </c>
      <c r="B19" s="1">
        <v>1991.0</v>
      </c>
      <c r="C19" s="10">
        <v>29099.0</v>
      </c>
      <c r="D19" s="10">
        <v>7680.0</v>
      </c>
      <c r="E19" s="11">
        <v>749.0</v>
      </c>
      <c r="F19" s="1">
        <v>31.4315595</v>
      </c>
      <c r="G19" s="11">
        <v>536466.0</v>
      </c>
      <c r="H19" s="11">
        <v>15.9</v>
      </c>
      <c r="I19" s="10">
        <v>437087.0</v>
      </c>
      <c r="J19" s="10">
        <v>18241.74</v>
      </c>
      <c r="K19" s="9"/>
    </row>
    <row r="20">
      <c r="A20" s="4" t="s">
        <v>29</v>
      </c>
      <c r="B20" s="5">
        <v>1991.0</v>
      </c>
      <c r="C20" s="6">
        <v>52.0</v>
      </c>
      <c r="D20" s="6">
        <v>29.0</v>
      </c>
      <c r="E20" s="6">
        <v>1616.0</v>
      </c>
      <c r="F20" s="5">
        <v>26.42582242</v>
      </c>
      <c r="G20" s="4"/>
      <c r="H20" s="7"/>
      <c r="I20" s="6">
        <v>4200.0</v>
      </c>
      <c r="J20" s="7"/>
    </row>
    <row r="21">
      <c r="A21" s="2" t="s">
        <v>30</v>
      </c>
      <c r="B21" s="1">
        <v>1991.0</v>
      </c>
      <c r="C21" s="10">
        <v>48566.0</v>
      </c>
      <c r="D21" s="10">
        <v>12274.0</v>
      </c>
      <c r="E21" s="11">
        <v>158.0</v>
      </c>
      <c r="F21" s="1">
        <v>42.8225808</v>
      </c>
      <c r="G21" s="11">
        <v>1030593.0</v>
      </c>
      <c r="H21" s="11">
        <v>26.6</v>
      </c>
      <c r="I21" s="10">
        <v>2457392.0</v>
      </c>
      <c r="J21" s="10">
        <v>15364.62</v>
      </c>
      <c r="K21" s="9"/>
    </row>
    <row r="22">
      <c r="A22" s="2" t="s">
        <v>31</v>
      </c>
      <c r="B22" s="1">
        <v>1991.0</v>
      </c>
      <c r="C22" s="10">
        <v>78937.0</v>
      </c>
      <c r="D22" s="10">
        <v>30542.0</v>
      </c>
      <c r="E22" s="11">
        <v>257.0</v>
      </c>
      <c r="F22" s="1">
        <v>42.96740791</v>
      </c>
      <c r="G22" s="11">
        <v>2713938.0</v>
      </c>
      <c r="H22" s="11">
        <v>46.0</v>
      </c>
      <c r="I22" s="10">
        <v>4059626.0</v>
      </c>
      <c r="J22" s="10">
        <v>33956.01</v>
      </c>
      <c r="K22" s="9"/>
    </row>
    <row r="23">
      <c r="A23" s="2" t="s">
        <v>32</v>
      </c>
      <c r="B23" s="1">
        <v>1991.0</v>
      </c>
      <c r="C23" s="10">
        <v>1837.0</v>
      </c>
      <c r="D23" s="10">
        <v>506.0</v>
      </c>
      <c r="E23" s="11">
        <v>82.0</v>
      </c>
      <c r="F23" s="1">
        <v>42.17970344</v>
      </c>
      <c r="G23" s="11">
        <v>34285.0</v>
      </c>
      <c r="H23" s="11">
        <v>1.9</v>
      </c>
      <c r="I23" s="10">
        <v>15034.0</v>
      </c>
      <c r="J23" s="10">
        <v>18391.59</v>
      </c>
      <c r="K23" s="9"/>
    </row>
    <row r="24">
      <c r="A24" s="2" t="s">
        <v>33</v>
      </c>
      <c r="B24" s="1">
        <v>1991.0</v>
      </c>
      <c r="C24" s="10">
        <v>1775.0</v>
      </c>
      <c r="D24" s="10">
        <v>330.0</v>
      </c>
      <c r="E24" s="11">
        <v>79.0</v>
      </c>
      <c r="F24" s="1">
        <v>42.67136509</v>
      </c>
      <c r="G24" s="11">
        <v>31889.0</v>
      </c>
      <c r="H24" s="11">
        <v>1.9</v>
      </c>
      <c r="I24" s="10">
        <v>70318.0</v>
      </c>
      <c r="J24" s="10">
        <v>17622.36</v>
      </c>
      <c r="K24" s="9"/>
    </row>
    <row r="25">
      <c r="A25" s="4" t="s">
        <v>34</v>
      </c>
      <c r="B25" s="5">
        <v>1991.0</v>
      </c>
      <c r="C25" s="6">
        <v>690.0</v>
      </c>
      <c r="D25" s="6">
        <v>318.0</v>
      </c>
      <c r="E25" s="6">
        <v>33.0</v>
      </c>
      <c r="F25" s="5">
        <v>48.90787467</v>
      </c>
      <c r="G25" s="6"/>
      <c r="H25" s="6">
        <v>1.7</v>
      </c>
      <c r="I25" s="6">
        <v>9882.0</v>
      </c>
      <c r="J25" s="4"/>
      <c r="K25" s="9"/>
    </row>
    <row r="26">
      <c r="A26" s="2" t="s">
        <v>35</v>
      </c>
      <c r="B26" s="1">
        <v>1991.0</v>
      </c>
      <c r="C26" s="10">
        <v>1210.0</v>
      </c>
      <c r="D26" s="10">
        <v>208.0</v>
      </c>
      <c r="E26" s="11">
        <v>73.0</v>
      </c>
      <c r="F26" s="1">
        <v>42.68022878</v>
      </c>
      <c r="G26" s="11">
        <v>24779.0</v>
      </c>
      <c r="H26" s="11">
        <v>1.8</v>
      </c>
      <c r="I26" s="10">
        <v>44088.0</v>
      </c>
      <c r="J26" s="10">
        <v>20039.94</v>
      </c>
      <c r="K26" s="9"/>
    </row>
    <row r="27">
      <c r="A27" s="2" t="s">
        <v>36</v>
      </c>
      <c r="B27" s="1">
        <v>1991.0</v>
      </c>
      <c r="C27" s="10">
        <v>31660.0</v>
      </c>
      <c r="D27" s="10">
        <v>4235.0</v>
      </c>
      <c r="E27" s="11">
        <v>203.0</v>
      </c>
      <c r="F27" s="1">
        <v>37.53272611</v>
      </c>
      <c r="G27" s="11">
        <v>489701.0</v>
      </c>
      <c r="H27" s="11">
        <v>13.1</v>
      </c>
      <c r="I27" s="10">
        <v>592596.0</v>
      </c>
      <c r="J27" s="10">
        <v>15284.7</v>
      </c>
      <c r="K27" s="9"/>
    </row>
    <row r="28">
      <c r="A28" s="4" t="s">
        <v>37</v>
      </c>
      <c r="B28" s="5">
        <v>1991.0</v>
      </c>
      <c r="C28" s="6">
        <v>808.0</v>
      </c>
      <c r="D28" s="6">
        <v>517.0</v>
      </c>
      <c r="E28" s="6">
        <v>1683.0</v>
      </c>
      <c r="F28" s="5">
        <v>33.07984179</v>
      </c>
      <c r="G28" s="6">
        <v>23797.0</v>
      </c>
      <c r="H28" s="6"/>
      <c r="I28" s="6">
        <v>189396.0</v>
      </c>
      <c r="J28" s="6">
        <v>28801.17</v>
      </c>
      <c r="K28" s="9"/>
    </row>
    <row r="29">
      <c r="A29" s="2" t="s">
        <v>38</v>
      </c>
      <c r="B29" s="1">
        <v>1991.0</v>
      </c>
      <c r="C29" s="10">
        <v>20282.0</v>
      </c>
      <c r="D29" s="10">
        <v>5993.0</v>
      </c>
      <c r="E29" s="11">
        <v>403.0</v>
      </c>
      <c r="F29" s="1">
        <v>30.87466015</v>
      </c>
      <c r="G29" s="11">
        <v>784487.0</v>
      </c>
      <c r="H29" s="11">
        <v>11.0</v>
      </c>
      <c r="I29" s="10">
        <v>1120282.0</v>
      </c>
      <c r="J29" s="10">
        <v>38211.75</v>
      </c>
      <c r="K29" s="9"/>
    </row>
    <row r="30">
      <c r="A30" s="2" t="s">
        <v>39</v>
      </c>
      <c r="B30" s="1">
        <v>1991.0</v>
      </c>
      <c r="C30" s="10">
        <v>44006.0</v>
      </c>
      <c r="D30" s="10">
        <v>10067.0</v>
      </c>
      <c r="E30" s="11">
        <v>129.0</v>
      </c>
      <c r="F30" s="1">
        <v>38.86828134</v>
      </c>
      <c r="G30" s="11">
        <v>782337.0</v>
      </c>
      <c r="H30" s="11">
        <v>20.4</v>
      </c>
      <c r="I30" s="10">
        <v>1470102.0</v>
      </c>
      <c r="J30" s="10">
        <v>17532.45</v>
      </c>
      <c r="K30" s="9"/>
    </row>
    <row r="31">
      <c r="A31" s="2" t="s">
        <v>40</v>
      </c>
      <c r="B31" s="1">
        <v>1991.0</v>
      </c>
      <c r="C31" s="10">
        <v>406.0</v>
      </c>
      <c r="D31" s="10">
        <v>37.0</v>
      </c>
      <c r="E31" s="11">
        <v>57.0</v>
      </c>
      <c r="F31" s="1">
        <v>41.51017205</v>
      </c>
      <c r="G31" s="11">
        <v>14429.0</v>
      </c>
      <c r="H31" s="11">
        <v>0.7</v>
      </c>
      <c r="I31" s="10">
        <v>23319.0</v>
      </c>
      <c r="J31" s="10">
        <v>34885.08</v>
      </c>
      <c r="K31" s="9"/>
    </row>
    <row r="32">
      <c r="A32" s="2" t="s">
        <v>41</v>
      </c>
      <c r="B32" s="1">
        <v>1991.0</v>
      </c>
      <c r="C32" s="10">
        <v>55859.0</v>
      </c>
      <c r="D32" s="10">
        <v>19078.0</v>
      </c>
      <c r="E32" s="11">
        <v>429.0</v>
      </c>
      <c r="F32" s="1">
        <v>43.31328235</v>
      </c>
      <c r="G32" s="11">
        <v>1275540.0</v>
      </c>
      <c r="H32" s="11">
        <v>34.3</v>
      </c>
      <c r="I32" s="10">
        <v>842996.0</v>
      </c>
      <c r="J32" s="10">
        <v>22677.3</v>
      </c>
      <c r="K32" s="9"/>
    </row>
    <row r="33">
      <c r="A33" s="2" t="s">
        <v>42</v>
      </c>
      <c r="B33" s="1">
        <v>1991.0</v>
      </c>
      <c r="C33" s="10">
        <v>2757.0</v>
      </c>
      <c r="D33" s="10">
        <v>422.0</v>
      </c>
      <c r="E33" s="11">
        <v>263.0</v>
      </c>
      <c r="F33" s="1">
        <v>31.13722048</v>
      </c>
      <c r="G33" s="11">
        <v>45900.0</v>
      </c>
      <c r="H33" s="11">
        <v>2.9</v>
      </c>
      <c r="I33" s="10">
        <v>41335.0</v>
      </c>
      <c r="J33" s="10">
        <v>16413.57</v>
      </c>
      <c r="K33" s="9"/>
    </row>
    <row r="34">
      <c r="A34" s="2" t="s">
        <v>43</v>
      </c>
      <c r="B34" s="1">
        <v>1991.0</v>
      </c>
      <c r="C34" s="10">
        <v>132062.0</v>
      </c>
      <c r="D34" s="10">
        <v>25972.0</v>
      </c>
      <c r="E34" s="11">
        <v>548.0</v>
      </c>
      <c r="F34" s="1">
        <v>32.20368306</v>
      </c>
      <c r="G34" s="11">
        <v>2287287.0</v>
      </c>
      <c r="H34" s="11">
        <v>44.4</v>
      </c>
      <c r="I34" s="10">
        <v>1873515.0</v>
      </c>
      <c r="J34" s="10">
        <v>16253.73</v>
      </c>
      <c r="K34" s="9"/>
    </row>
    <row r="35">
      <c r="A35" s="4" t="s">
        <v>44</v>
      </c>
      <c r="B35" s="5">
        <v>1991.0</v>
      </c>
      <c r="C35" s="6">
        <v>7051.0</v>
      </c>
      <c r="D35" s="6">
        <v>1634.0</v>
      </c>
      <c r="E35" s="6">
        <v>133.0</v>
      </c>
      <c r="F35" s="5" t="s">
        <v>17</v>
      </c>
      <c r="G35" s="6"/>
      <c r="H35" s="6"/>
      <c r="I35" s="7"/>
      <c r="J35" s="4"/>
      <c r="K35" s="9"/>
    </row>
    <row r="36">
      <c r="A36" s="2" t="s">
        <v>45</v>
      </c>
      <c r="B36" s="1">
        <v>1991.0</v>
      </c>
      <c r="C36" s="10">
        <v>68078.0</v>
      </c>
      <c r="D36" s="10">
        <v>18708.0</v>
      </c>
      <c r="E36" s="11">
        <v>767.0</v>
      </c>
      <c r="F36" s="1">
        <v>32.19070076</v>
      </c>
      <c r="G36" s="11">
        <v>1559022.0</v>
      </c>
      <c r="H36" s="11">
        <v>27.2</v>
      </c>
      <c r="I36" s="10">
        <v>2005331.0</v>
      </c>
      <c r="J36" s="10">
        <v>22647.33</v>
      </c>
      <c r="K36" s="9"/>
    </row>
    <row r="37">
      <c r="A37" s="4" t="s">
        <v>10</v>
      </c>
      <c r="B37" s="5">
        <v>2001.0</v>
      </c>
      <c r="C37" s="6">
        <v>356.0</v>
      </c>
      <c r="D37" s="6">
        <v>116.0</v>
      </c>
      <c r="E37" s="6">
        <v>43.0</v>
      </c>
      <c r="F37" s="5">
        <v>38.25726094</v>
      </c>
      <c r="G37" s="8">
        <v>85689.0</v>
      </c>
      <c r="H37" s="7"/>
      <c r="I37" s="15">
        <v>84380.0</v>
      </c>
      <c r="J37" s="8">
        <v>51079.66</v>
      </c>
    </row>
    <row r="38">
      <c r="A38" s="2" t="s">
        <v>11</v>
      </c>
      <c r="B38" s="1">
        <v>2001.0</v>
      </c>
      <c r="C38" s="10">
        <v>76210.0</v>
      </c>
      <c r="D38" s="10">
        <v>20809.0</v>
      </c>
      <c r="E38" s="11">
        <v>277.0</v>
      </c>
      <c r="F38" s="1">
        <v>45.78645295</v>
      </c>
      <c r="G38" s="11">
        <v>1.3174957E7</v>
      </c>
      <c r="H38" s="11">
        <v>100.1</v>
      </c>
      <c r="I38" s="16">
        <v>1032753.0</v>
      </c>
      <c r="J38" s="12">
        <v>36835.82</v>
      </c>
      <c r="K38" s="9"/>
      <c r="L38" s="17"/>
    </row>
    <row r="39">
      <c r="A39" s="2" t="s">
        <v>12</v>
      </c>
      <c r="B39" s="1">
        <v>2001.0</v>
      </c>
      <c r="C39" s="10">
        <v>1098.0</v>
      </c>
      <c r="D39" s="10">
        <v>228.0</v>
      </c>
      <c r="E39" s="11">
        <v>13.0</v>
      </c>
      <c r="F39" s="1">
        <v>43.98142751</v>
      </c>
      <c r="G39" s="11">
        <v>186399.0</v>
      </c>
      <c r="H39" s="11">
        <v>3.3</v>
      </c>
      <c r="I39" s="16">
        <v>136050.0</v>
      </c>
      <c r="J39" s="12">
        <v>35937.02</v>
      </c>
      <c r="K39" s="9"/>
      <c r="L39" s="17"/>
    </row>
    <row r="40">
      <c r="A40" s="2" t="s">
        <v>13</v>
      </c>
      <c r="B40" s="1">
        <v>2001.0</v>
      </c>
      <c r="C40" s="10">
        <v>26656.0</v>
      </c>
      <c r="D40" s="10">
        <v>3439.0</v>
      </c>
      <c r="E40" s="11">
        <v>340.0</v>
      </c>
      <c r="F40" s="1">
        <v>35.7846635</v>
      </c>
      <c r="G40" s="11">
        <v>3366789.0</v>
      </c>
      <c r="H40" s="11">
        <v>30.8</v>
      </c>
      <c r="I40" s="16">
        <v>407141.0</v>
      </c>
      <c r="J40" s="12">
        <v>26812.06</v>
      </c>
      <c r="K40" s="9"/>
    </row>
    <row r="41">
      <c r="A41" s="2" t="s">
        <v>14</v>
      </c>
      <c r="B41" s="1">
        <v>2001.0</v>
      </c>
      <c r="C41" s="10">
        <v>82999.0</v>
      </c>
      <c r="D41" s="10">
        <v>8682.0</v>
      </c>
      <c r="E41" s="11">
        <v>881.0</v>
      </c>
      <c r="F41" s="1">
        <v>33.70495005</v>
      </c>
      <c r="G41" s="11">
        <v>5057852.0</v>
      </c>
      <c r="H41" s="11">
        <v>74.1</v>
      </c>
      <c r="I41" s="16">
        <v>1619031.0</v>
      </c>
      <c r="J41" s="12">
        <v>12827.16</v>
      </c>
      <c r="K41" s="9"/>
    </row>
    <row r="42">
      <c r="A42" s="4" t="s">
        <v>15</v>
      </c>
      <c r="B42" s="5">
        <v>2001.0</v>
      </c>
      <c r="C42" s="6">
        <v>901.0</v>
      </c>
      <c r="D42" s="6">
        <v>809.0</v>
      </c>
      <c r="E42" s="6">
        <v>7900.0</v>
      </c>
      <c r="F42" s="5">
        <v>37.79799808</v>
      </c>
      <c r="G42" s="6">
        <v>464880.0</v>
      </c>
      <c r="H42" s="7"/>
      <c r="I42" s="15">
        <v>554474.0</v>
      </c>
      <c r="J42" s="8">
        <v>108018.64</v>
      </c>
      <c r="K42" s="9"/>
    </row>
    <row r="43">
      <c r="A43" s="2" t="s">
        <v>16</v>
      </c>
      <c r="B43" s="1">
        <v>2001.0</v>
      </c>
      <c r="C43" s="10">
        <v>20834.0</v>
      </c>
      <c r="D43" s="10">
        <v>4186.0</v>
      </c>
      <c r="E43" s="11">
        <v>154.0</v>
      </c>
      <c r="F43" s="1">
        <v>46.46233335</v>
      </c>
      <c r="G43" s="11">
        <v>2550265.0</v>
      </c>
      <c r="H43" s="11">
        <v>9.7</v>
      </c>
      <c r="I43" s="16">
        <v>936415.0</v>
      </c>
      <c r="J43" s="12">
        <v>26112.28</v>
      </c>
      <c r="K43" s="9"/>
    </row>
    <row r="44">
      <c r="A44" s="4" t="s">
        <v>18</v>
      </c>
      <c r="B44" s="5">
        <v>2001.0</v>
      </c>
      <c r="C44" s="6">
        <v>220.0</v>
      </c>
      <c r="D44" s="6">
        <v>50.0</v>
      </c>
      <c r="E44" s="6">
        <v>449.0</v>
      </c>
      <c r="F44" s="5">
        <v>51.75835639</v>
      </c>
      <c r="G44" s="4"/>
      <c r="H44" s="7"/>
      <c r="I44" s="15">
        <v>67328.0</v>
      </c>
      <c r="J44" s="7"/>
      <c r="K44" s="9"/>
    </row>
    <row r="45">
      <c r="A45" s="4" t="s">
        <v>19</v>
      </c>
      <c r="B45" s="5">
        <v>2001.0</v>
      </c>
      <c r="C45" s="6">
        <v>158.0</v>
      </c>
      <c r="D45" s="6">
        <v>57.0</v>
      </c>
      <c r="E45" s="6">
        <v>1425.0</v>
      </c>
      <c r="F45" s="5">
        <v>46.01084675</v>
      </c>
      <c r="G45" s="4"/>
      <c r="H45" s="7"/>
      <c r="I45" s="15">
        <v>61272.0</v>
      </c>
      <c r="J45" s="7"/>
      <c r="K45" s="9"/>
    </row>
    <row r="46">
      <c r="A46" s="4" t="s">
        <v>20</v>
      </c>
      <c r="B46" s="5">
        <v>2001.0</v>
      </c>
      <c r="C46" s="6">
        <v>13851.0</v>
      </c>
      <c r="D46" s="6">
        <v>12906.0</v>
      </c>
      <c r="E46" s="6">
        <v>9340.0</v>
      </c>
      <c r="F46" s="5">
        <v>32.81637271</v>
      </c>
      <c r="G46" s="6">
        <v>5522161.0</v>
      </c>
      <c r="H46" s="7"/>
      <c r="I46" s="15">
        <v>5324052.0</v>
      </c>
      <c r="J46" s="8">
        <v>83515.64</v>
      </c>
      <c r="K46" s="9"/>
    </row>
    <row r="47">
      <c r="A47" s="2" t="s">
        <v>21</v>
      </c>
      <c r="B47" s="1">
        <v>2001.0</v>
      </c>
      <c r="C47" s="10">
        <v>1348.0</v>
      </c>
      <c r="D47" s="10">
        <v>671.0</v>
      </c>
      <c r="E47" s="11">
        <v>364.0</v>
      </c>
      <c r="F47" s="1">
        <v>38.79701826</v>
      </c>
      <c r="G47" s="11">
        <v>549169.0</v>
      </c>
      <c r="H47" s="11">
        <v>5.2</v>
      </c>
      <c r="I47" s="16">
        <v>228869.0</v>
      </c>
      <c r="J47" s="12">
        <v>84185.46</v>
      </c>
      <c r="K47" s="9"/>
    </row>
    <row r="48">
      <c r="A48" s="2" t="s">
        <v>22</v>
      </c>
      <c r="B48" s="1">
        <v>2001.0</v>
      </c>
      <c r="C48" s="10">
        <v>50671.0</v>
      </c>
      <c r="D48" s="10">
        <v>18930.0</v>
      </c>
      <c r="E48" s="11">
        <v>258.0</v>
      </c>
      <c r="F48" s="1">
        <v>41.94808444</v>
      </c>
      <c r="G48" s="11">
        <v>9345500.0</v>
      </c>
      <c r="H48" s="11">
        <v>96.8</v>
      </c>
      <c r="I48" s="16">
        <v>2182741.0</v>
      </c>
      <c r="J48" s="12">
        <v>38948.0</v>
      </c>
    </row>
    <row r="49">
      <c r="A49" s="2" t="s">
        <v>23</v>
      </c>
      <c r="B49" s="1">
        <v>2001.0</v>
      </c>
      <c r="C49" s="10">
        <v>21145.0</v>
      </c>
      <c r="D49" s="10">
        <v>6115.0</v>
      </c>
      <c r="E49" s="11">
        <v>478.0</v>
      </c>
      <c r="F49" s="1">
        <v>39.61995149</v>
      </c>
      <c r="G49" s="11">
        <v>5503631.0</v>
      </c>
      <c r="H49" s="11">
        <v>33.9</v>
      </c>
      <c r="I49" s="16">
        <v>2675920.0</v>
      </c>
      <c r="J49" s="12">
        <v>54865.32</v>
      </c>
    </row>
    <row r="50">
      <c r="A50" s="2" t="s">
        <v>24</v>
      </c>
      <c r="B50" s="1">
        <v>2001.0</v>
      </c>
      <c r="C50" s="10">
        <v>6078.0</v>
      </c>
      <c r="D50" s="10">
        <v>596.0</v>
      </c>
      <c r="E50" s="11">
        <v>109.0</v>
      </c>
      <c r="F50" s="1">
        <v>49.2351141</v>
      </c>
      <c r="G50" s="11">
        <v>1393830.0</v>
      </c>
      <c r="H50" s="11">
        <v>19.6</v>
      </c>
      <c r="I50" s="16">
        <v>350834.0</v>
      </c>
      <c r="J50" s="10">
        <v>48242.02</v>
      </c>
    </row>
    <row r="51">
      <c r="A51" s="2" t="s">
        <v>25</v>
      </c>
      <c r="B51" s="1">
        <v>2001.0</v>
      </c>
      <c r="C51" s="10">
        <v>10144.0</v>
      </c>
      <c r="D51" s="10">
        <v>2517.0</v>
      </c>
      <c r="E51" s="11">
        <v>100.0</v>
      </c>
      <c r="F51" s="1">
        <v>37.00636848</v>
      </c>
      <c r="G51" s="11">
        <v>1418490.0</v>
      </c>
      <c r="H51" s="11">
        <v>20.4</v>
      </c>
      <c r="I51" s="16">
        <v>158003.0</v>
      </c>
      <c r="J51" s="10">
        <v>29497.76</v>
      </c>
    </row>
    <row r="52">
      <c r="A52" s="4" t="s">
        <v>26</v>
      </c>
      <c r="B52" s="5">
        <v>2001.0</v>
      </c>
      <c r="C52" s="6">
        <v>26946.0</v>
      </c>
      <c r="D52" s="6">
        <v>5994.0</v>
      </c>
      <c r="E52" s="6">
        <v>338.0</v>
      </c>
      <c r="F52" s="5">
        <v>37.5161217</v>
      </c>
      <c r="G52" s="6">
        <v>2850001.0</v>
      </c>
      <c r="H52" s="6"/>
      <c r="I52" s="15">
        <v>1730938.0</v>
      </c>
      <c r="J52" s="6">
        <v>22365.14</v>
      </c>
    </row>
    <row r="53">
      <c r="A53" s="2" t="s">
        <v>27</v>
      </c>
      <c r="B53" s="1">
        <v>2001.0</v>
      </c>
      <c r="C53" s="10">
        <v>52851.0</v>
      </c>
      <c r="D53" s="10">
        <v>17962.0</v>
      </c>
      <c r="E53" s="11">
        <v>276.0</v>
      </c>
      <c r="F53" s="1">
        <v>44.53082448</v>
      </c>
      <c r="G53" s="11">
        <v>9278843.0</v>
      </c>
      <c r="H53" s="11">
        <v>75.4</v>
      </c>
      <c r="I53" s="16">
        <v>2074471.0</v>
      </c>
      <c r="J53" s="10">
        <v>37240.28</v>
      </c>
    </row>
    <row r="54">
      <c r="A54" s="2" t="s">
        <v>28</v>
      </c>
      <c r="B54" s="1">
        <v>2001.0</v>
      </c>
      <c r="C54" s="10">
        <v>31841.0</v>
      </c>
      <c r="D54" s="10">
        <v>8267.0</v>
      </c>
      <c r="E54" s="11">
        <v>820.0</v>
      </c>
      <c r="F54" s="1">
        <v>32.29724634</v>
      </c>
      <c r="G54" s="11">
        <v>6605203.0</v>
      </c>
      <c r="H54" s="11">
        <v>52.4</v>
      </c>
      <c r="I54" s="16">
        <v>454259.0</v>
      </c>
      <c r="J54" s="10">
        <v>44210.26</v>
      </c>
    </row>
    <row r="55">
      <c r="A55" s="4" t="s">
        <v>29</v>
      </c>
      <c r="B55" s="5">
        <v>2001.0</v>
      </c>
      <c r="C55" s="6">
        <v>61.0</v>
      </c>
      <c r="D55" s="6">
        <v>27.0</v>
      </c>
      <c r="E55" s="6">
        <v>2022.0</v>
      </c>
      <c r="F55" s="5">
        <v>25.31574608</v>
      </c>
      <c r="G55" s="4"/>
      <c r="H55" s="7"/>
      <c r="I55" s="15">
        <v>5561.0</v>
      </c>
      <c r="J55" s="7"/>
    </row>
    <row r="56">
      <c r="A56" s="2" t="s">
        <v>30</v>
      </c>
      <c r="B56" s="1">
        <v>2001.0</v>
      </c>
      <c r="C56" s="10">
        <v>60348.0</v>
      </c>
      <c r="D56" s="10">
        <v>15967.0</v>
      </c>
      <c r="E56" s="11">
        <v>196.0</v>
      </c>
      <c r="F56" s="1">
        <v>42.74128251</v>
      </c>
      <c r="G56" s="11">
        <v>7152534.0</v>
      </c>
      <c r="H56" s="11">
        <v>71.5</v>
      </c>
      <c r="I56" s="16">
        <v>2169350.0</v>
      </c>
      <c r="J56" s="10">
        <v>25070.1</v>
      </c>
    </row>
    <row r="57">
      <c r="A57" s="2" t="s">
        <v>31</v>
      </c>
      <c r="B57" s="1">
        <v>2001.0</v>
      </c>
      <c r="C57" s="10">
        <v>96879.0</v>
      </c>
      <c r="D57" s="10">
        <v>41101.0</v>
      </c>
      <c r="E57" s="11">
        <v>315.0</v>
      </c>
      <c r="F57" s="1">
        <v>42.49993242</v>
      </c>
      <c r="G57" s="11">
        <v>2.1796331E7</v>
      </c>
      <c r="H57" s="11">
        <v>154.3</v>
      </c>
      <c r="I57" s="16">
        <v>7313139.0</v>
      </c>
      <c r="J57" s="10">
        <v>47632.12</v>
      </c>
    </row>
    <row r="58">
      <c r="A58" s="2" t="s">
        <v>32</v>
      </c>
      <c r="B58" s="1">
        <v>2001.0</v>
      </c>
      <c r="C58" s="10">
        <v>2294.0</v>
      </c>
      <c r="D58" s="10">
        <v>576.0</v>
      </c>
      <c r="E58" s="18">
        <v>97.0</v>
      </c>
      <c r="F58" s="1">
        <v>43.62277251</v>
      </c>
      <c r="G58" s="11">
        <v>293745.0</v>
      </c>
      <c r="H58" s="11">
        <v>4.5</v>
      </c>
      <c r="I58" s="16">
        <v>14783.0</v>
      </c>
      <c r="J58" s="10">
        <v>27051.74</v>
      </c>
    </row>
    <row r="59">
      <c r="A59" s="2" t="s">
        <v>33</v>
      </c>
      <c r="B59" s="1">
        <v>2001.0</v>
      </c>
      <c r="C59" s="10">
        <v>2319.0</v>
      </c>
      <c r="D59" s="10">
        <v>454.0</v>
      </c>
      <c r="E59" s="11">
        <v>103.0</v>
      </c>
      <c r="F59" s="1">
        <v>41.83788148</v>
      </c>
      <c r="G59" s="11">
        <v>365131.0</v>
      </c>
      <c r="H59" s="11">
        <v>5.8</v>
      </c>
      <c r="I59" s="16">
        <v>83082.0</v>
      </c>
      <c r="J59" s="10">
        <v>33208.52</v>
      </c>
    </row>
    <row r="60">
      <c r="A60" s="2" t="s">
        <v>34</v>
      </c>
      <c r="B60" s="1">
        <v>2001.0</v>
      </c>
      <c r="C60" s="10">
        <v>889.0</v>
      </c>
      <c r="D60" s="10">
        <v>441.0</v>
      </c>
      <c r="E60" s="11">
        <v>42.0</v>
      </c>
      <c r="F60" s="1">
        <v>52.57407101</v>
      </c>
      <c r="G60" s="11">
        <v>155499.0</v>
      </c>
      <c r="H60" s="11">
        <v>5.1</v>
      </c>
      <c r="I60" s="16">
        <v>35293.0</v>
      </c>
      <c r="J60" s="10">
        <v>36904.3</v>
      </c>
    </row>
    <row r="61">
      <c r="A61" s="2" t="s">
        <v>35</v>
      </c>
      <c r="B61" s="1">
        <v>2001.0</v>
      </c>
      <c r="C61" s="10">
        <v>1990.0</v>
      </c>
      <c r="D61" s="10">
        <v>343.0</v>
      </c>
      <c r="E61" s="11">
        <v>120.0</v>
      </c>
      <c r="F61" s="1">
        <v>42.60204338</v>
      </c>
      <c r="G61" s="11">
        <v>340229.0</v>
      </c>
      <c r="H61" s="11">
        <v>5.9</v>
      </c>
      <c r="I61" s="16">
        <v>81577.0</v>
      </c>
      <c r="J61" s="10">
        <v>35603.18</v>
      </c>
    </row>
    <row r="62">
      <c r="A62" s="2" t="s">
        <v>36</v>
      </c>
      <c r="B62" s="1">
        <v>2001.0</v>
      </c>
      <c r="C62" s="10">
        <v>36805.0</v>
      </c>
      <c r="D62" s="10">
        <v>5517.0</v>
      </c>
      <c r="E62" s="11">
        <v>236.0</v>
      </c>
      <c r="F62" s="1">
        <v>38.78989237</v>
      </c>
      <c r="G62" s="11">
        <v>3966184.0</v>
      </c>
      <c r="H62" s="11">
        <v>40.6</v>
      </c>
      <c r="I62" s="16">
        <v>662800.0</v>
      </c>
      <c r="J62" s="10">
        <v>22891.58</v>
      </c>
    </row>
    <row r="63">
      <c r="A63" s="2" t="s">
        <v>37</v>
      </c>
      <c r="B63" s="1">
        <v>2001.0</v>
      </c>
      <c r="C63" s="10">
        <v>974.0</v>
      </c>
      <c r="D63" s="10">
        <v>649.0</v>
      </c>
      <c r="E63" s="11">
        <v>1989.0</v>
      </c>
      <c r="F63" s="1">
        <v>35.16772806</v>
      </c>
      <c r="G63" s="11">
        <v>352936.0</v>
      </c>
      <c r="H63" s="11">
        <v>13.2</v>
      </c>
      <c r="I63" s="16">
        <v>252727.0</v>
      </c>
      <c r="J63" s="10">
        <v>76678.34</v>
      </c>
    </row>
    <row r="64">
      <c r="A64" s="2" t="s">
        <v>38</v>
      </c>
      <c r="B64" s="1">
        <v>2001.0</v>
      </c>
      <c r="C64" s="10">
        <v>24359.0</v>
      </c>
      <c r="D64" s="10">
        <v>8263.0</v>
      </c>
      <c r="E64" s="11">
        <v>484.0</v>
      </c>
      <c r="F64" s="1">
        <v>37.47064483</v>
      </c>
      <c r="G64" s="11">
        <v>6399451.0</v>
      </c>
      <c r="H64" s="11">
        <v>38.9</v>
      </c>
      <c r="I64" s="16">
        <v>1749122.0</v>
      </c>
      <c r="J64" s="10">
        <v>55622.88</v>
      </c>
    </row>
    <row r="65">
      <c r="A65" s="2" t="s">
        <v>39</v>
      </c>
      <c r="B65" s="1">
        <v>2001.0</v>
      </c>
      <c r="C65" s="10">
        <v>56507.0</v>
      </c>
      <c r="D65" s="10">
        <v>13214.0</v>
      </c>
      <c r="E65" s="11">
        <v>165.0</v>
      </c>
      <c r="F65" s="1">
        <v>42.05952524</v>
      </c>
      <c r="G65" s="11">
        <v>7993604.0</v>
      </c>
      <c r="H65" s="11">
        <v>72.2</v>
      </c>
      <c r="I65" s="16">
        <v>1741411.0</v>
      </c>
      <c r="J65" s="10">
        <v>29816.62</v>
      </c>
    </row>
    <row r="66">
      <c r="A66" s="2" t="s">
        <v>40</v>
      </c>
      <c r="B66" s="1">
        <v>2001.0</v>
      </c>
      <c r="C66" s="10">
        <v>541.0</v>
      </c>
      <c r="D66" s="10">
        <v>60.0</v>
      </c>
      <c r="E66" s="11">
        <v>76.0</v>
      </c>
      <c r="F66" s="1">
        <v>48.63502148</v>
      </c>
      <c r="G66" s="11">
        <v>88059.0</v>
      </c>
      <c r="H66" s="11">
        <v>2.6</v>
      </c>
      <c r="I66" s="16">
        <v>46033.0</v>
      </c>
      <c r="J66" s="10">
        <v>34139.42</v>
      </c>
    </row>
    <row r="67">
      <c r="A67" s="2" t="s">
        <v>41</v>
      </c>
      <c r="B67" s="1">
        <v>2001.0</v>
      </c>
      <c r="C67" s="10">
        <v>62406.0</v>
      </c>
      <c r="D67" s="10">
        <v>27484.0</v>
      </c>
      <c r="E67" s="11">
        <v>480.0</v>
      </c>
      <c r="F67" s="1">
        <v>44.67266833</v>
      </c>
      <c r="G67" s="11">
        <v>1.2390102E7</v>
      </c>
      <c r="H67" s="11">
        <v>96.2</v>
      </c>
      <c r="I67" s="16">
        <v>727172.0</v>
      </c>
      <c r="J67" s="10">
        <v>42260.72</v>
      </c>
    </row>
    <row r="68">
      <c r="A68" s="2" t="s">
        <v>42</v>
      </c>
      <c r="B68" s="1">
        <v>2001.0</v>
      </c>
      <c r="C68" s="10">
        <v>3199.0</v>
      </c>
      <c r="D68" s="10">
        <v>546.0</v>
      </c>
      <c r="E68" s="11">
        <v>305.0</v>
      </c>
      <c r="F68" s="1">
        <v>36.2453086</v>
      </c>
      <c r="G68" s="11">
        <v>543314.0</v>
      </c>
      <c r="H68" s="11">
        <v>9.0</v>
      </c>
      <c r="I68" s="16">
        <v>63778.0</v>
      </c>
      <c r="J68" s="10">
        <v>36266.58</v>
      </c>
    </row>
    <row r="69">
      <c r="A69" s="2" t="s">
        <v>43</v>
      </c>
      <c r="B69" s="1">
        <v>2001.0</v>
      </c>
      <c r="C69" s="10">
        <v>166198.0</v>
      </c>
      <c r="D69" s="10">
        <v>34540.0</v>
      </c>
      <c r="E69" s="11">
        <v>690.0</v>
      </c>
      <c r="F69" s="1">
        <v>32.48164819</v>
      </c>
      <c r="G69" s="11">
        <v>1.6292586E7</v>
      </c>
      <c r="H69" s="11">
        <v>121.3</v>
      </c>
      <c r="I69" s="16">
        <v>2824746.0</v>
      </c>
      <c r="J69" s="10">
        <v>20698.08</v>
      </c>
    </row>
    <row r="70">
      <c r="A70" s="2" t="s">
        <v>44</v>
      </c>
      <c r="B70" s="1">
        <v>2001.0</v>
      </c>
      <c r="C70" s="10">
        <v>8489.0</v>
      </c>
      <c r="D70" s="10">
        <v>2179.0</v>
      </c>
      <c r="E70" s="11">
        <v>159.0</v>
      </c>
      <c r="F70" s="1">
        <v>36.91727128</v>
      </c>
      <c r="G70" s="11">
        <v>1317940.0</v>
      </c>
      <c r="H70" s="11">
        <v>3.5</v>
      </c>
      <c r="I70" s="16">
        <v>859598.0</v>
      </c>
      <c r="J70" s="10">
        <v>32878.96</v>
      </c>
    </row>
    <row r="71">
      <c r="A71" s="2" t="s">
        <v>45</v>
      </c>
      <c r="B71" s="1">
        <v>2001.0</v>
      </c>
      <c r="C71" s="10">
        <v>80176.0</v>
      </c>
      <c r="D71" s="10">
        <v>22427.0</v>
      </c>
      <c r="E71" s="11">
        <v>903.0</v>
      </c>
      <c r="F71" s="1">
        <v>36.77112548</v>
      </c>
      <c r="G71" s="11">
        <v>1.3905744E7</v>
      </c>
      <c r="H71" s="11">
        <v>96.2</v>
      </c>
      <c r="I71" s="1">
        <v>2457162.0</v>
      </c>
      <c r="J71" s="10">
        <v>36861.5</v>
      </c>
    </row>
    <row r="72">
      <c r="A72" s="4" t="s">
        <v>10</v>
      </c>
      <c r="B72" s="5">
        <v>2011.0</v>
      </c>
      <c r="C72" s="6">
        <v>381.0</v>
      </c>
      <c r="D72" s="6">
        <v>143.0</v>
      </c>
      <c r="E72" s="6">
        <v>46.0</v>
      </c>
      <c r="F72" s="5">
        <v>40.07951001</v>
      </c>
      <c r="G72" s="6">
        <v>340362.0</v>
      </c>
      <c r="H72" s="7"/>
      <c r="I72" s="15">
        <v>81267.0</v>
      </c>
      <c r="J72" s="5">
        <v>89100.0</v>
      </c>
      <c r="K72" s="9"/>
    </row>
    <row r="73">
      <c r="A73" s="2" t="s">
        <v>11</v>
      </c>
      <c r="B73" s="1">
        <v>2011.0</v>
      </c>
      <c r="C73" s="11">
        <v>84581.0</v>
      </c>
      <c r="D73" s="11">
        <v>28219.0</v>
      </c>
      <c r="E73" s="11">
        <v>308.0</v>
      </c>
      <c r="F73" s="1">
        <v>46.60977044</v>
      </c>
      <c r="G73" s="10">
        <v>3.3999552E7</v>
      </c>
      <c r="H73" s="11">
        <v>454.0</v>
      </c>
      <c r="I73" s="16">
        <v>1591890.0</v>
      </c>
      <c r="J73" s="1">
        <v>69000.0</v>
      </c>
      <c r="K73" s="9"/>
    </row>
    <row r="74">
      <c r="A74" s="2" t="s">
        <v>12</v>
      </c>
      <c r="B74" s="1">
        <v>2011.0</v>
      </c>
      <c r="C74" s="11">
        <v>1384.0</v>
      </c>
      <c r="D74" s="11">
        <v>317.0</v>
      </c>
      <c r="E74" s="11">
        <v>17.0</v>
      </c>
      <c r="F74" s="1">
        <v>42.46914312</v>
      </c>
      <c r="G74" s="10">
        <v>1022946.0</v>
      </c>
      <c r="H74" s="11">
        <v>21.6</v>
      </c>
      <c r="I74" s="16">
        <v>136010.0</v>
      </c>
      <c r="J74" s="1">
        <v>73540.0</v>
      </c>
      <c r="K74" s="9"/>
    </row>
    <row r="75">
      <c r="A75" s="2" t="s">
        <v>13</v>
      </c>
      <c r="B75" s="1">
        <v>2011.0</v>
      </c>
      <c r="C75" s="11">
        <v>31206.0</v>
      </c>
      <c r="D75" s="11">
        <v>4399.0</v>
      </c>
      <c r="E75" s="11">
        <v>398.0</v>
      </c>
      <c r="F75" s="1">
        <v>38.35753585</v>
      </c>
      <c r="G75" s="10">
        <v>1.2935412E7</v>
      </c>
      <c r="H75" s="11">
        <v>111.9</v>
      </c>
      <c r="I75" s="16">
        <v>495699.0</v>
      </c>
      <c r="J75" s="1">
        <v>41142.0</v>
      </c>
      <c r="K75" s="9"/>
    </row>
    <row r="76">
      <c r="A76" s="2" t="s">
        <v>14</v>
      </c>
      <c r="B76" s="1">
        <v>2011.0</v>
      </c>
      <c r="C76" s="11">
        <v>104099.0</v>
      </c>
      <c r="D76" s="11">
        <v>11758.0</v>
      </c>
      <c r="E76" s="11">
        <v>1106.0</v>
      </c>
      <c r="F76" s="1">
        <v>33.35751181</v>
      </c>
      <c r="G76" s="10">
        <v>2.2849744E7</v>
      </c>
      <c r="H76" s="11">
        <v>240.5</v>
      </c>
      <c r="I76" s="16">
        <v>1111954.0</v>
      </c>
      <c r="J76" s="1">
        <v>21750.0</v>
      </c>
      <c r="K76" s="9"/>
    </row>
    <row r="77">
      <c r="A77" s="4" t="s">
        <v>15</v>
      </c>
      <c r="B77" s="5">
        <v>2011.0</v>
      </c>
      <c r="C77" s="6">
        <v>1055.0</v>
      </c>
      <c r="D77" s="6">
        <v>1026.0</v>
      </c>
      <c r="E77" s="6">
        <v>9258.0</v>
      </c>
      <c r="F77" s="5">
        <v>38.29039746</v>
      </c>
      <c r="G77" s="6">
        <v>1692998.0</v>
      </c>
      <c r="H77" s="7"/>
      <c r="I77" s="15">
        <v>633966.0</v>
      </c>
      <c r="J77" s="5">
        <v>158967.0</v>
      </c>
      <c r="K77" s="9"/>
    </row>
    <row r="78">
      <c r="A78" s="2" t="s">
        <v>16</v>
      </c>
      <c r="B78" s="1">
        <v>2011.0</v>
      </c>
      <c r="C78" s="11">
        <v>25545.0</v>
      </c>
      <c r="D78" s="11">
        <v>5937.0</v>
      </c>
      <c r="E78" s="11">
        <v>189.0</v>
      </c>
      <c r="F78" s="1">
        <v>47.68107493</v>
      </c>
      <c r="G78" s="10">
        <v>1.4227342E7</v>
      </c>
      <c r="H78" s="11">
        <v>148.1</v>
      </c>
      <c r="I78" s="16">
        <v>1267668.0</v>
      </c>
      <c r="J78" s="1">
        <v>55177.0</v>
      </c>
      <c r="K78" s="9"/>
    </row>
    <row r="79">
      <c r="A79" s="4" t="s">
        <v>18</v>
      </c>
      <c r="B79" s="5">
        <v>2011.0</v>
      </c>
      <c r="C79" s="6">
        <v>344.0</v>
      </c>
      <c r="D79" s="6">
        <v>161.0</v>
      </c>
      <c r="E79" s="6">
        <v>700.0</v>
      </c>
      <c r="F79" s="5">
        <v>45.72501738</v>
      </c>
      <c r="G79" s="4"/>
      <c r="H79" s="7"/>
      <c r="I79" s="15">
        <v>135602.0</v>
      </c>
      <c r="J79" s="7"/>
      <c r="K79" s="9"/>
    </row>
    <row r="80">
      <c r="A80" s="4" t="s">
        <v>19</v>
      </c>
      <c r="B80" s="5">
        <v>2011.0</v>
      </c>
      <c r="C80" s="6">
        <v>243.0</v>
      </c>
      <c r="D80" s="6">
        <v>183.0</v>
      </c>
      <c r="E80" s="6">
        <v>2191.0</v>
      </c>
      <c r="F80" s="5">
        <v>49.85508557</v>
      </c>
      <c r="G80" s="4"/>
      <c r="H80" s="7"/>
      <c r="I80" s="15">
        <v>124522.0</v>
      </c>
      <c r="J80" s="7"/>
      <c r="K80" s="9"/>
    </row>
    <row r="81">
      <c r="A81" s="4" t="s">
        <v>20</v>
      </c>
      <c r="B81" s="5">
        <v>2011.0</v>
      </c>
      <c r="C81" s="6">
        <v>16788.0</v>
      </c>
      <c r="D81" s="6">
        <v>16369.0</v>
      </c>
      <c r="E81" s="6">
        <v>11320.0</v>
      </c>
      <c r="F81" s="5">
        <v>33.28013245</v>
      </c>
      <c r="G81" s="6">
        <v>3.1465002E7</v>
      </c>
      <c r="H81" s="7"/>
      <c r="I81" s="15">
        <v>6330065.0</v>
      </c>
      <c r="J81" s="5">
        <v>185001.0</v>
      </c>
      <c r="K81" s="9"/>
    </row>
    <row r="82">
      <c r="A82" s="2" t="s">
        <v>21</v>
      </c>
      <c r="B82" s="1">
        <v>2011.0</v>
      </c>
      <c r="C82" s="11">
        <v>1459.0</v>
      </c>
      <c r="D82" s="11">
        <v>907.0</v>
      </c>
      <c r="E82" s="11">
        <v>394.0</v>
      </c>
      <c r="F82" s="1">
        <v>39.57697568</v>
      </c>
      <c r="G82" s="10">
        <v>3800855.0</v>
      </c>
      <c r="H82" s="11">
        <v>23.0</v>
      </c>
      <c r="I82" s="16">
        <v>269689.0</v>
      </c>
      <c r="J82" s="1">
        <v>259444.0</v>
      </c>
      <c r="K82" s="9"/>
    </row>
    <row r="83">
      <c r="A83" s="2" t="s">
        <v>22</v>
      </c>
      <c r="B83" s="1">
        <v>2011.0</v>
      </c>
      <c r="C83" s="11">
        <v>60440.0</v>
      </c>
      <c r="D83" s="11">
        <v>25745.0</v>
      </c>
      <c r="E83" s="11">
        <v>308.0</v>
      </c>
      <c r="F83" s="1">
        <v>40.97927402</v>
      </c>
      <c r="G83" s="10">
        <v>5.3280946E7</v>
      </c>
      <c r="H83" s="11">
        <v>303.5</v>
      </c>
      <c r="I83" s="16">
        <v>3916075.0</v>
      </c>
      <c r="J83" s="1">
        <v>87481.0</v>
      </c>
    </row>
    <row r="84">
      <c r="A84" s="2" t="s">
        <v>23</v>
      </c>
      <c r="B84" s="1">
        <v>2011.0</v>
      </c>
      <c r="C84" s="11">
        <v>25351.0</v>
      </c>
      <c r="D84" s="11">
        <v>8842.0</v>
      </c>
      <c r="E84" s="11">
        <v>573.0</v>
      </c>
      <c r="F84" s="1">
        <v>35.17157314</v>
      </c>
      <c r="G84" s="10">
        <v>2.7115248E7</v>
      </c>
      <c r="H84" s="11">
        <v>162.7</v>
      </c>
      <c r="I84" s="16">
        <v>3626318.0</v>
      </c>
      <c r="J84" s="1">
        <v>106085.0</v>
      </c>
    </row>
    <row r="85">
      <c r="A85" s="2" t="s">
        <v>24</v>
      </c>
      <c r="B85" s="1">
        <v>2011.0</v>
      </c>
      <c r="C85" s="11">
        <v>6865.0</v>
      </c>
      <c r="D85" s="11">
        <v>689.0</v>
      </c>
      <c r="E85" s="11">
        <v>123.0</v>
      </c>
      <c r="F85" s="1">
        <v>51.85183351</v>
      </c>
      <c r="G85" s="10">
        <v>6053625.0</v>
      </c>
      <c r="H85" s="11">
        <v>60.0</v>
      </c>
      <c r="I85" s="16">
        <v>395504.0</v>
      </c>
      <c r="J85" s="1">
        <v>87721.0</v>
      </c>
    </row>
    <row r="86">
      <c r="A86" s="2" t="s">
        <v>25</v>
      </c>
      <c r="B86" s="1">
        <v>2011.0</v>
      </c>
      <c r="C86" s="11">
        <v>12541.0</v>
      </c>
      <c r="D86" s="11">
        <v>3433.0</v>
      </c>
      <c r="E86" s="11">
        <v>124.0</v>
      </c>
      <c r="F86" s="1">
        <v>34.46781682</v>
      </c>
      <c r="G86" s="10">
        <v>6727409.0</v>
      </c>
      <c r="H86" s="11">
        <v>87.4</v>
      </c>
      <c r="I86" s="16">
        <v>155187.0</v>
      </c>
      <c r="J86" s="1">
        <v>53173.0</v>
      </c>
    </row>
    <row r="87">
      <c r="A87" s="2" t="s">
        <v>26</v>
      </c>
      <c r="B87" s="1">
        <v>2011.0</v>
      </c>
      <c r="C87" s="11">
        <v>32988.0</v>
      </c>
      <c r="D87" s="11">
        <v>7933.0</v>
      </c>
      <c r="E87" s="11">
        <v>414.0</v>
      </c>
      <c r="F87" s="1">
        <v>39.70601671</v>
      </c>
      <c r="G87" s="10">
        <v>1.3738347E7</v>
      </c>
      <c r="H87" s="11">
        <v>107.2</v>
      </c>
      <c r="I87" s="16">
        <v>2195521.0</v>
      </c>
      <c r="J87" s="1">
        <v>41254.0</v>
      </c>
    </row>
    <row r="88">
      <c r="A88" s="2" t="s">
        <v>27</v>
      </c>
      <c r="B88" s="1">
        <v>2011.0</v>
      </c>
      <c r="C88" s="11">
        <v>61095.0</v>
      </c>
      <c r="D88" s="11">
        <v>23626.0</v>
      </c>
      <c r="E88" s="11">
        <v>319.0</v>
      </c>
      <c r="F88" s="1">
        <v>45.62150995</v>
      </c>
      <c r="G88" s="10">
        <v>5.549522E7</v>
      </c>
      <c r="H88" s="11">
        <v>323.7</v>
      </c>
      <c r="I88" s="16">
        <v>3247660.0</v>
      </c>
      <c r="J88" s="1">
        <v>90263.0</v>
      </c>
    </row>
    <row r="89">
      <c r="A89" s="2" t="s">
        <v>28</v>
      </c>
      <c r="B89" s="1">
        <v>2011.0</v>
      </c>
      <c r="C89" s="11">
        <v>33406.0</v>
      </c>
      <c r="D89" s="11">
        <v>15935.0</v>
      </c>
      <c r="E89" s="11">
        <v>860.0</v>
      </c>
      <c r="F89" s="1">
        <v>34.78130211</v>
      </c>
      <c r="G89" s="10">
        <v>3.2802112E7</v>
      </c>
      <c r="H89" s="11">
        <v>187.4</v>
      </c>
      <c r="I89" s="16">
        <v>654423.0</v>
      </c>
      <c r="J89" s="1">
        <v>97912.0</v>
      </c>
    </row>
    <row r="90">
      <c r="A90" s="4" t="s">
        <v>29</v>
      </c>
      <c r="B90" s="5">
        <v>2011.0</v>
      </c>
      <c r="C90" s="6">
        <v>64.0</v>
      </c>
      <c r="D90" s="6">
        <v>50.0</v>
      </c>
      <c r="E90" s="6">
        <v>2149.0</v>
      </c>
      <c r="F90" s="5">
        <v>29.08659439</v>
      </c>
      <c r="G90" s="4"/>
      <c r="H90" s="7"/>
      <c r="I90" s="15">
        <v>6077.0</v>
      </c>
      <c r="J90" s="7"/>
    </row>
    <row r="91">
      <c r="A91" s="2" t="s">
        <v>30</v>
      </c>
      <c r="B91" s="1">
        <v>2011.0</v>
      </c>
      <c r="C91" s="11">
        <v>72627.0</v>
      </c>
      <c r="D91" s="11">
        <v>20069.0</v>
      </c>
      <c r="E91" s="11">
        <v>236.0</v>
      </c>
      <c r="F91" s="1">
        <v>43.4744875</v>
      </c>
      <c r="G91" s="10">
        <v>2.8237104E7</v>
      </c>
      <c r="H91" s="11">
        <v>271.3</v>
      </c>
      <c r="I91" s="16">
        <v>2744332.0</v>
      </c>
      <c r="J91" s="1">
        <v>38497.0</v>
      </c>
    </row>
    <row r="92">
      <c r="A92" s="2" t="s">
        <v>31</v>
      </c>
      <c r="B92" s="1">
        <v>2011.0</v>
      </c>
      <c r="C92" s="11">
        <v>112374.0</v>
      </c>
      <c r="D92" s="11">
        <v>50818.0</v>
      </c>
      <c r="E92" s="11">
        <v>365.0</v>
      </c>
      <c r="F92" s="1">
        <v>43.98502459</v>
      </c>
      <c r="G92" s="10">
        <v>1.1265947E8</v>
      </c>
      <c r="H92" s="11">
        <v>611.3</v>
      </c>
      <c r="I92" s="16">
        <v>9087380.0</v>
      </c>
      <c r="J92" s="1">
        <v>99597.0</v>
      </c>
    </row>
    <row r="93">
      <c r="A93" s="2" t="s">
        <v>32</v>
      </c>
      <c r="B93" s="1">
        <v>2011.0</v>
      </c>
      <c r="C93" s="11">
        <v>2856.0</v>
      </c>
      <c r="D93" s="11">
        <v>834.0</v>
      </c>
      <c r="E93" s="11">
        <v>115.0</v>
      </c>
      <c r="F93" s="1">
        <v>45.68291691</v>
      </c>
      <c r="G93" s="10">
        <v>1150107.0</v>
      </c>
      <c r="H93" s="11">
        <v>20.2</v>
      </c>
      <c r="I93" s="16">
        <v>20100.0</v>
      </c>
      <c r="J93" s="1">
        <v>39762.0</v>
      </c>
    </row>
    <row r="94">
      <c r="A94" s="2" t="s">
        <v>33</v>
      </c>
      <c r="B94" s="1">
        <v>2011.0</v>
      </c>
      <c r="C94" s="11">
        <v>2967.0</v>
      </c>
      <c r="D94" s="11">
        <v>595.0</v>
      </c>
      <c r="E94" s="11">
        <v>132.0</v>
      </c>
      <c r="F94" s="1">
        <v>39.96169051</v>
      </c>
      <c r="G94" s="10">
        <v>1802802.0</v>
      </c>
      <c r="H94" s="11">
        <v>23.4</v>
      </c>
      <c r="I94" s="16">
        <v>107915.0</v>
      </c>
      <c r="J94" s="1">
        <v>60013.0</v>
      </c>
    </row>
    <row r="95">
      <c r="A95" s="2" t="s">
        <v>34</v>
      </c>
      <c r="B95" s="1">
        <v>2011.0</v>
      </c>
      <c r="C95" s="11">
        <v>1097.0</v>
      </c>
      <c r="D95" s="11">
        <v>572.0</v>
      </c>
      <c r="E95" s="11">
        <v>52.0</v>
      </c>
      <c r="F95" s="1">
        <v>44.35857988</v>
      </c>
      <c r="G95" s="10">
        <v>640414.0</v>
      </c>
      <c r="H95" s="11">
        <v>16.4</v>
      </c>
      <c r="I95" s="16">
        <v>41380.0</v>
      </c>
      <c r="J95" s="1">
        <v>57654.0</v>
      </c>
    </row>
    <row r="96">
      <c r="A96" s="2" t="s">
        <v>35</v>
      </c>
      <c r="B96" s="1">
        <v>2011.0</v>
      </c>
      <c r="C96" s="11">
        <v>1979.0</v>
      </c>
      <c r="D96" s="11">
        <v>571.0</v>
      </c>
      <c r="E96" s="11">
        <v>119.0</v>
      </c>
      <c r="F96" s="1">
        <v>49.23533057</v>
      </c>
      <c r="G96" s="10">
        <v>1055427.0</v>
      </c>
      <c r="H96" s="11">
        <v>16.1</v>
      </c>
      <c r="I96" s="16">
        <v>108020.0</v>
      </c>
      <c r="J96" s="1">
        <v>53010.0</v>
      </c>
    </row>
    <row r="97">
      <c r="A97" s="2" t="s">
        <v>36</v>
      </c>
      <c r="B97" s="1">
        <v>2011.0</v>
      </c>
      <c r="C97" s="11">
        <v>41974.0</v>
      </c>
      <c r="D97" s="11">
        <v>7004.0</v>
      </c>
      <c r="E97" s="11">
        <v>270.0</v>
      </c>
      <c r="F97" s="1">
        <v>41.79134201</v>
      </c>
      <c r="G97" s="10">
        <v>2.0422595E7</v>
      </c>
      <c r="H97" s="11">
        <v>180.5</v>
      </c>
      <c r="I97" s="16">
        <v>855096.0</v>
      </c>
      <c r="J97" s="1">
        <v>48499.0</v>
      </c>
    </row>
    <row r="98">
      <c r="A98" s="2" t="s">
        <v>37</v>
      </c>
      <c r="B98" s="1">
        <v>2011.0</v>
      </c>
      <c r="C98" s="11">
        <v>1248.0</v>
      </c>
      <c r="D98" s="11">
        <v>853.0</v>
      </c>
      <c r="E98" s="11">
        <v>2547.0</v>
      </c>
      <c r="F98" s="1">
        <v>35.65582999</v>
      </c>
      <c r="G98" s="10">
        <v>1515956.0</v>
      </c>
      <c r="H98" s="11">
        <v>73.8</v>
      </c>
      <c r="I98" s="16">
        <v>339967.0</v>
      </c>
      <c r="J98" s="1">
        <v>119649.0</v>
      </c>
    </row>
    <row r="99">
      <c r="A99" s="2" t="s">
        <v>38</v>
      </c>
      <c r="B99" s="1">
        <v>2011.0</v>
      </c>
      <c r="C99" s="11">
        <v>27743.0</v>
      </c>
      <c r="D99" s="11">
        <v>10399.0</v>
      </c>
      <c r="E99" s="11">
        <v>551.0</v>
      </c>
      <c r="F99" s="1">
        <v>35.67473388</v>
      </c>
      <c r="G99" s="10">
        <v>2.3922695E7</v>
      </c>
      <c r="H99" s="11">
        <v>99.7</v>
      </c>
      <c r="I99" s="16">
        <v>2488299.0</v>
      </c>
      <c r="J99" s="1">
        <v>85577.0</v>
      </c>
    </row>
    <row r="100">
      <c r="A100" s="2" t="s">
        <v>39</v>
      </c>
      <c r="B100" s="1">
        <v>2011.0</v>
      </c>
      <c r="C100" s="11">
        <v>68548.0</v>
      </c>
      <c r="D100" s="11">
        <v>17048.0</v>
      </c>
      <c r="E100" s="11">
        <v>200.0</v>
      </c>
      <c r="F100" s="1">
        <v>43.59874026</v>
      </c>
      <c r="G100" s="10">
        <v>3.9533093E7</v>
      </c>
      <c r="H100" s="11">
        <v>278.5</v>
      </c>
      <c r="I100" s="16">
        <v>2604298.0</v>
      </c>
      <c r="J100" s="1">
        <v>57192.0</v>
      </c>
    </row>
    <row r="101">
      <c r="A101" s="2" t="s">
        <v>40</v>
      </c>
      <c r="B101" s="1">
        <v>2011.0</v>
      </c>
      <c r="C101" s="11">
        <v>611.0</v>
      </c>
      <c r="D101" s="11">
        <v>154.0</v>
      </c>
      <c r="E101" s="11">
        <v>86.0</v>
      </c>
      <c r="F101" s="1">
        <v>50.4666897</v>
      </c>
      <c r="G101" s="10">
        <v>974218.0</v>
      </c>
      <c r="H101" s="11">
        <v>14.5</v>
      </c>
      <c r="I101" s="16">
        <v>61163.0</v>
      </c>
      <c r="J101" s="1">
        <v>158667.0</v>
      </c>
    </row>
    <row r="102">
      <c r="A102" s="2" t="s">
        <v>41</v>
      </c>
      <c r="B102" s="1">
        <v>2011.0</v>
      </c>
      <c r="C102" s="11">
        <v>72147.0</v>
      </c>
      <c r="D102" s="11">
        <v>34917.0</v>
      </c>
      <c r="E102" s="11">
        <v>555.0</v>
      </c>
      <c r="F102" s="1">
        <v>45.58008971</v>
      </c>
      <c r="G102" s="10">
        <v>6.7447835E7</v>
      </c>
      <c r="H102" s="11">
        <v>419.0</v>
      </c>
      <c r="I102" s="16">
        <v>1650771.0</v>
      </c>
      <c r="J102" s="1">
        <v>93112.0</v>
      </c>
    </row>
    <row r="103">
      <c r="A103" s="2" t="s">
        <v>42</v>
      </c>
      <c r="B103" s="1">
        <v>2011.0</v>
      </c>
      <c r="C103" s="11">
        <v>3674.0</v>
      </c>
      <c r="D103" s="11">
        <v>961.0</v>
      </c>
      <c r="E103" s="11">
        <v>350.0</v>
      </c>
      <c r="F103" s="1">
        <v>39.99875337</v>
      </c>
      <c r="G103" s="10">
        <v>1741905.0</v>
      </c>
      <c r="H103" s="11">
        <v>26.9</v>
      </c>
      <c r="I103" s="16">
        <v>87378.0</v>
      </c>
      <c r="J103" s="1">
        <v>47155.0</v>
      </c>
    </row>
    <row r="104">
      <c r="A104" s="2" t="s">
        <v>43</v>
      </c>
      <c r="B104" s="1">
        <v>2011.0</v>
      </c>
      <c r="C104" s="11">
        <v>199812.0</v>
      </c>
      <c r="D104" s="11">
        <v>44495.0</v>
      </c>
      <c r="E104" s="11">
        <v>829.0</v>
      </c>
      <c r="F104" s="1">
        <v>32.93826331</v>
      </c>
      <c r="G104" s="10">
        <v>6.4513155E7</v>
      </c>
      <c r="H104" s="11">
        <v>597.2</v>
      </c>
      <c r="I104" s="16">
        <v>4061933.0</v>
      </c>
      <c r="J104" s="1">
        <v>32002.0</v>
      </c>
    </row>
    <row r="105">
      <c r="A105" s="2" t="s">
        <v>44</v>
      </c>
      <c r="B105" s="1">
        <v>2011.0</v>
      </c>
      <c r="C105" s="11">
        <v>10086.0</v>
      </c>
      <c r="D105" s="11">
        <v>3049.0</v>
      </c>
      <c r="E105" s="11">
        <v>189.0</v>
      </c>
      <c r="F105" s="1">
        <v>38.39146239</v>
      </c>
      <c r="G105" s="10">
        <v>1.0195963E7</v>
      </c>
      <c r="H105" s="11">
        <v>73.8</v>
      </c>
      <c r="I105" s="16">
        <v>1250575.0</v>
      </c>
      <c r="J105" s="1">
        <v>100314.0</v>
      </c>
    </row>
    <row r="106">
      <c r="A106" s="2" t="s">
        <v>45</v>
      </c>
      <c r="B106" s="1">
        <v>2011.0</v>
      </c>
      <c r="C106" s="11">
        <v>91276.0</v>
      </c>
      <c r="D106" s="11">
        <v>29093.0</v>
      </c>
      <c r="E106" s="11">
        <v>1028.0</v>
      </c>
      <c r="F106" s="1">
        <v>38.07825848</v>
      </c>
      <c r="G106" s="10">
        <v>4.7320465E7</v>
      </c>
      <c r="H106" s="11">
        <v>356.1</v>
      </c>
      <c r="I106" s="1">
        <v>2381045.0</v>
      </c>
      <c r="J106" s="1">
        <v>51543.0</v>
      </c>
    </row>
  </sheetData>
  <autoFilter ref="$A$1:$Z$106">
    <sortState ref="A1:Z106">
      <sortCondition ref="B1:B106"/>
      <sortCondition ref="A1:A106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9" max="9" width="42.25"/>
  </cols>
  <sheetData>
    <row r="1">
      <c r="A1" s="19" t="s">
        <v>9</v>
      </c>
      <c r="B1" s="20" t="s">
        <v>46</v>
      </c>
      <c r="C1" s="20" t="s">
        <v>47</v>
      </c>
      <c r="D1" s="20" t="s">
        <v>48</v>
      </c>
      <c r="E1" s="21" t="s">
        <v>49</v>
      </c>
      <c r="F1" s="21" t="s">
        <v>50</v>
      </c>
      <c r="G1" s="21"/>
      <c r="I1" s="21" t="s">
        <v>51</v>
      </c>
    </row>
    <row r="2">
      <c r="A2" s="9" t="s">
        <v>52</v>
      </c>
      <c r="B2" s="22">
        <v>2302.0</v>
      </c>
      <c r="C2" s="22">
        <v>23869.0</v>
      </c>
      <c r="D2" s="22">
        <v>89100.0</v>
      </c>
      <c r="E2" s="23">
        <f t="shared" ref="E2:E6" si="1">B2*$J$4</f>
        <v>22996.98</v>
      </c>
      <c r="F2" s="23">
        <f t="shared" ref="F2:F33" si="2">C2*$J$7</f>
        <v>51079.66</v>
      </c>
      <c r="I2" s="9" t="s">
        <v>53</v>
      </c>
      <c r="J2" s="24">
        <v>19925.0</v>
      </c>
    </row>
    <row r="3">
      <c r="A3" s="9" t="s">
        <v>11</v>
      </c>
      <c r="B3" s="22">
        <v>2134.0</v>
      </c>
      <c r="C3" s="22">
        <v>17213.0</v>
      </c>
      <c r="D3" s="22">
        <v>69000.0</v>
      </c>
      <c r="E3" s="23">
        <f t="shared" si="1"/>
        <v>21318.66</v>
      </c>
      <c r="F3" s="23">
        <f t="shared" si="2"/>
        <v>36835.82</v>
      </c>
      <c r="I3" s="9" t="s">
        <v>54</v>
      </c>
      <c r="J3" s="24">
        <v>1995.0</v>
      </c>
    </row>
    <row r="4">
      <c r="A4" s="9" t="s">
        <v>12</v>
      </c>
      <c r="B4" s="22">
        <v>3013.0</v>
      </c>
      <c r="C4" s="22">
        <v>16793.0</v>
      </c>
      <c r="D4" s="22">
        <v>73540.0</v>
      </c>
      <c r="E4" s="23">
        <f t="shared" si="1"/>
        <v>30099.87</v>
      </c>
      <c r="F4" s="23">
        <f t="shared" si="2"/>
        <v>35937.02</v>
      </c>
      <c r="I4" s="9" t="s">
        <v>55</v>
      </c>
      <c r="J4" s="24">
        <f>round(J2/J3,2)</f>
        <v>9.99</v>
      </c>
    </row>
    <row r="5">
      <c r="A5" s="9" t="s">
        <v>13</v>
      </c>
      <c r="B5" s="22">
        <v>1575.0</v>
      </c>
      <c r="C5" s="22">
        <v>12529.0</v>
      </c>
      <c r="D5" s="22">
        <v>41142.0</v>
      </c>
      <c r="E5" s="23">
        <f t="shared" si="1"/>
        <v>15734.25</v>
      </c>
      <c r="F5" s="23">
        <f t="shared" si="2"/>
        <v>26812.06</v>
      </c>
      <c r="I5" s="25" t="s">
        <v>56</v>
      </c>
      <c r="J5" s="24">
        <v>37968.0</v>
      </c>
    </row>
    <row r="6">
      <c r="A6" s="9" t="s">
        <v>14</v>
      </c>
      <c r="B6" s="22">
        <v>1105.0</v>
      </c>
      <c r="C6" s="22">
        <v>5994.0</v>
      </c>
      <c r="D6" s="22">
        <v>21750.0</v>
      </c>
      <c r="E6" s="23">
        <f t="shared" si="1"/>
        <v>11038.95</v>
      </c>
      <c r="F6" s="23">
        <f t="shared" si="2"/>
        <v>12827.16</v>
      </c>
      <c r="I6" s="25" t="s">
        <v>57</v>
      </c>
      <c r="J6" s="24">
        <v>17775.0</v>
      </c>
    </row>
    <row r="7">
      <c r="A7" s="9" t="s">
        <v>15</v>
      </c>
      <c r="B7" s="22" t="s">
        <v>58</v>
      </c>
      <c r="C7" s="22">
        <v>50476.0</v>
      </c>
      <c r="D7" s="22">
        <v>158967.0</v>
      </c>
      <c r="F7" s="23">
        <f t="shared" si="2"/>
        <v>108018.64</v>
      </c>
      <c r="I7" s="9" t="s">
        <v>59</v>
      </c>
      <c r="J7" s="24">
        <f>round(J5/J6,2)</f>
        <v>2.14</v>
      </c>
    </row>
    <row r="8">
      <c r="A8" s="9" t="s">
        <v>16</v>
      </c>
      <c r="B8" s="22" t="s">
        <v>58</v>
      </c>
      <c r="C8" s="22">
        <v>12202.0</v>
      </c>
      <c r="D8" s="22">
        <v>55177.0</v>
      </c>
      <c r="F8" s="23">
        <f t="shared" si="2"/>
        <v>26112.28</v>
      </c>
    </row>
    <row r="9">
      <c r="A9" s="9" t="s">
        <v>20</v>
      </c>
      <c r="B9" s="22">
        <v>6046.0</v>
      </c>
      <c r="C9" s="22">
        <v>39026.0</v>
      </c>
      <c r="D9" s="22">
        <v>185001.0</v>
      </c>
      <c r="E9" s="23">
        <f t="shared" ref="E9:E14" si="3">B9*$J$4</f>
        <v>60399.54</v>
      </c>
      <c r="F9" s="23">
        <f t="shared" si="2"/>
        <v>83515.64</v>
      </c>
    </row>
    <row r="10">
      <c r="A10" s="9" t="s">
        <v>21</v>
      </c>
      <c r="B10" s="22">
        <v>4786.0</v>
      </c>
      <c r="C10" s="22">
        <v>39339.0</v>
      </c>
      <c r="D10" s="22">
        <v>259444.0</v>
      </c>
      <c r="E10" s="23">
        <f t="shared" si="3"/>
        <v>47812.14</v>
      </c>
      <c r="F10" s="23">
        <f t="shared" si="2"/>
        <v>84185.46</v>
      </c>
    </row>
    <row r="11">
      <c r="A11" s="9" t="s">
        <v>22</v>
      </c>
      <c r="B11" s="22">
        <v>2381.0</v>
      </c>
      <c r="C11" s="22">
        <v>18200.0</v>
      </c>
      <c r="D11" s="22">
        <v>87481.0</v>
      </c>
      <c r="E11" s="23">
        <f t="shared" si="3"/>
        <v>23786.19</v>
      </c>
      <c r="F11" s="23">
        <f t="shared" si="2"/>
        <v>38948</v>
      </c>
    </row>
    <row r="12">
      <c r="A12" s="9" t="s">
        <v>23</v>
      </c>
      <c r="B12" s="22">
        <v>3499.0</v>
      </c>
      <c r="C12" s="22">
        <v>25638.0</v>
      </c>
      <c r="D12" s="22">
        <v>106085.0</v>
      </c>
      <c r="E12" s="23">
        <f t="shared" si="3"/>
        <v>34955.01</v>
      </c>
      <c r="F12" s="23">
        <f t="shared" si="2"/>
        <v>54865.32</v>
      </c>
    </row>
    <row r="13">
      <c r="A13" s="9" t="s">
        <v>24</v>
      </c>
      <c r="B13" s="22">
        <v>2213.0</v>
      </c>
      <c r="C13" s="22">
        <v>22543.0</v>
      </c>
      <c r="D13" s="22">
        <v>87721.0</v>
      </c>
      <c r="E13" s="23">
        <f t="shared" si="3"/>
        <v>22107.87</v>
      </c>
      <c r="F13" s="23">
        <f t="shared" si="2"/>
        <v>48242.02</v>
      </c>
    </row>
    <row r="14">
      <c r="A14" s="9" t="s">
        <v>25</v>
      </c>
      <c r="B14" s="22">
        <v>1779.0</v>
      </c>
      <c r="C14" s="22">
        <v>13784.0</v>
      </c>
      <c r="D14" s="22">
        <v>53173.0</v>
      </c>
      <c r="E14" s="23">
        <f t="shared" si="3"/>
        <v>17772.21</v>
      </c>
      <c r="F14" s="23">
        <f t="shared" si="2"/>
        <v>29497.76</v>
      </c>
    </row>
    <row r="15">
      <c r="A15" s="9" t="s">
        <v>26</v>
      </c>
      <c r="B15" s="22" t="s">
        <v>58</v>
      </c>
      <c r="C15" s="22">
        <v>10451.0</v>
      </c>
      <c r="D15" s="22">
        <v>41254.0</v>
      </c>
      <c r="F15" s="23">
        <f t="shared" si="2"/>
        <v>22365.14</v>
      </c>
    </row>
    <row r="16">
      <c r="A16" s="9" t="s">
        <v>27</v>
      </c>
      <c r="B16" s="22">
        <v>2262.0</v>
      </c>
      <c r="C16" s="22">
        <v>17402.0</v>
      </c>
      <c r="D16" s="22">
        <v>90263.0</v>
      </c>
      <c r="E16" s="23">
        <f t="shared" ref="E16:E21" si="4">B16*$J$4</f>
        <v>22597.38</v>
      </c>
      <c r="F16" s="23">
        <f t="shared" si="2"/>
        <v>37240.28</v>
      </c>
    </row>
    <row r="17">
      <c r="A17" s="9" t="s">
        <v>28</v>
      </c>
      <c r="B17" s="22">
        <v>1826.0</v>
      </c>
      <c r="C17" s="22">
        <v>20659.0</v>
      </c>
      <c r="D17" s="22">
        <v>97912.0</v>
      </c>
      <c r="E17" s="23">
        <f t="shared" si="4"/>
        <v>18241.74</v>
      </c>
      <c r="F17" s="23">
        <f t="shared" si="2"/>
        <v>44210.26</v>
      </c>
    </row>
    <row r="18">
      <c r="A18" s="9" t="s">
        <v>30</v>
      </c>
      <c r="B18" s="22">
        <v>1538.0</v>
      </c>
      <c r="C18" s="22">
        <v>11715.0</v>
      </c>
      <c r="D18" s="22">
        <v>38497.0</v>
      </c>
      <c r="E18" s="23">
        <f t="shared" si="4"/>
        <v>15364.62</v>
      </c>
      <c r="F18" s="23">
        <f t="shared" si="2"/>
        <v>25070.1</v>
      </c>
    </row>
    <row r="19">
      <c r="A19" s="9" t="s">
        <v>31</v>
      </c>
      <c r="B19" s="22">
        <v>3399.0</v>
      </c>
      <c r="C19" s="22">
        <v>22258.0</v>
      </c>
      <c r="D19" s="22">
        <v>99597.0</v>
      </c>
      <c r="E19" s="23">
        <f t="shared" si="4"/>
        <v>33956.01</v>
      </c>
      <c r="F19" s="23">
        <f t="shared" si="2"/>
        <v>47632.12</v>
      </c>
    </row>
    <row r="20">
      <c r="A20" s="9" t="s">
        <v>32</v>
      </c>
      <c r="B20" s="22">
        <v>1841.0</v>
      </c>
      <c r="C20" s="22">
        <v>12641.0</v>
      </c>
      <c r="D20" s="22">
        <v>39762.0</v>
      </c>
      <c r="E20" s="23">
        <f t="shared" si="4"/>
        <v>18391.59</v>
      </c>
      <c r="F20" s="23">
        <f t="shared" si="2"/>
        <v>27051.74</v>
      </c>
    </row>
    <row r="21">
      <c r="A21" s="9" t="s">
        <v>33</v>
      </c>
      <c r="B21" s="22">
        <v>1764.0</v>
      </c>
      <c r="C21" s="22">
        <v>15518.0</v>
      </c>
      <c r="D21" s="22">
        <v>60013.0</v>
      </c>
      <c r="E21" s="23">
        <f t="shared" si="4"/>
        <v>17622.36</v>
      </c>
      <c r="F21" s="23">
        <f t="shared" si="2"/>
        <v>33208.52</v>
      </c>
    </row>
    <row r="22">
      <c r="A22" s="9" t="s">
        <v>34</v>
      </c>
      <c r="B22" s="22" t="s">
        <v>58</v>
      </c>
      <c r="C22" s="22">
        <v>17245.0</v>
      </c>
      <c r="D22" s="22">
        <v>57654.0</v>
      </c>
      <c r="F22" s="23">
        <f t="shared" si="2"/>
        <v>36904.3</v>
      </c>
    </row>
    <row r="23">
      <c r="A23" s="9" t="s">
        <v>35</v>
      </c>
      <c r="B23" s="22">
        <v>2006.0</v>
      </c>
      <c r="C23" s="22">
        <v>16637.0</v>
      </c>
      <c r="D23" s="22">
        <v>53010.0</v>
      </c>
      <c r="E23" s="23">
        <f t="shared" ref="E23:E31" si="5">B23*$J$4</f>
        <v>20039.94</v>
      </c>
      <c r="F23" s="23">
        <f t="shared" si="2"/>
        <v>35603.18</v>
      </c>
    </row>
    <row r="24">
      <c r="A24" s="9" t="s">
        <v>36</v>
      </c>
      <c r="B24" s="22">
        <v>1530.0</v>
      </c>
      <c r="C24" s="22">
        <v>10697.0</v>
      </c>
      <c r="D24" s="22">
        <v>48499.0</v>
      </c>
      <c r="E24" s="23">
        <f t="shared" si="5"/>
        <v>15284.7</v>
      </c>
      <c r="F24" s="23">
        <f t="shared" si="2"/>
        <v>22891.58</v>
      </c>
    </row>
    <row r="25">
      <c r="A25" s="9" t="s">
        <v>37</v>
      </c>
      <c r="B25" s="22">
        <v>2883.0</v>
      </c>
      <c r="C25" s="22">
        <v>35831.0</v>
      </c>
      <c r="D25" s="22">
        <v>119649.0</v>
      </c>
      <c r="E25" s="23">
        <f t="shared" si="5"/>
        <v>28801.17</v>
      </c>
      <c r="F25" s="23">
        <f t="shared" si="2"/>
        <v>76678.34</v>
      </c>
    </row>
    <row r="26">
      <c r="A26" s="9" t="s">
        <v>38</v>
      </c>
      <c r="B26" s="22">
        <v>3825.0</v>
      </c>
      <c r="C26" s="22">
        <v>25992.0</v>
      </c>
      <c r="D26" s="22">
        <v>85577.0</v>
      </c>
      <c r="E26" s="23">
        <f t="shared" si="5"/>
        <v>38211.75</v>
      </c>
      <c r="F26" s="23">
        <f t="shared" si="2"/>
        <v>55622.88</v>
      </c>
    </row>
    <row r="27">
      <c r="A27" s="9" t="s">
        <v>39</v>
      </c>
      <c r="B27" s="22">
        <v>1755.0</v>
      </c>
      <c r="C27" s="22">
        <v>13933.0</v>
      </c>
      <c r="D27" s="22">
        <v>57192.0</v>
      </c>
      <c r="E27" s="23">
        <f t="shared" si="5"/>
        <v>17532.45</v>
      </c>
      <c r="F27" s="23">
        <f t="shared" si="2"/>
        <v>29816.62</v>
      </c>
    </row>
    <row r="28">
      <c r="A28" s="9" t="s">
        <v>40</v>
      </c>
      <c r="B28" s="22">
        <v>3492.0</v>
      </c>
      <c r="C28" s="22">
        <v>15953.0</v>
      </c>
      <c r="D28" s="22">
        <v>158667.0</v>
      </c>
      <c r="E28" s="23">
        <f t="shared" si="5"/>
        <v>34885.08</v>
      </c>
      <c r="F28" s="23">
        <f t="shared" si="2"/>
        <v>34139.42</v>
      </c>
    </row>
    <row r="29">
      <c r="A29" s="9" t="s">
        <v>41</v>
      </c>
      <c r="B29" s="22">
        <v>2270.0</v>
      </c>
      <c r="C29" s="22">
        <v>19748.0</v>
      </c>
      <c r="D29" s="22">
        <v>93112.0</v>
      </c>
      <c r="E29" s="23">
        <f t="shared" si="5"/>
        <v>22677.3</v>
      </c>
      <c r="F29" s="23">
        <f t="shared" si="2"/>
        <v>42260.72</v>
      </c>
    </row>
    <row r="30">
      <c r="A30" s="9" t="s">
        <v>42</v>
      </c>
      <c r="B30" s="22">
        <v>1643.0</v>
      </c>
      <c r="C30" s="22">
        <v>16947.0</v>
      </c>
      <c r="D30" s="22">
        <v>47155.0</v>
      </c>
      <c r="E30" s="23">
        <f t="shared" si="5"/>
        <v>16413.57</v>
      </c>
      <c r="F30" s="23">
        <f t="shared" si="2"/>
        <v>36266.58</v>
      </c>
    </row>
    <row r="31">
      <c r="A31" s="9" t="s">
        <v>43</v>
      </c>
      <c r="B31" s="22">
        <v>1627.0</v>
      </c>
      <c r="C31" s="22">
        <v>9672.0</v>
      </c>
      <c r="D31" s="22">
        <v>32002.0</v>
      </c>
      <c r="E31" s="23">
        <f t="shared" si="5"/>
        <v>16253.73</v>
      </c>
      <c r="F31" s="23">
        <f t="shared" si="2"/>
        <v>20698.08</v>
      </c>
    </row>
    <row r="32">
      <c r="A32" s="9" t="s">
        <v>44</v>
      </c>
      <c r="B32" s="22" t="s">
        <v>58</v>
      </c>
      <c r="C32" s="22">
        <v>15364.0</v>
      </c>
      <c r="D32" s="22">
        <v>100314.0</v>
      </c>
      <c r="F32" s="23">
        <f t="shared" si="2"/>
        <v>32878.96</v>
      </c>
    </row>
    <row r="33">
      <c r="A33" s="9" t="s">
        <v>45</v>
      </c>
      <c r="B33" s="22">
        <v>2267.0</v>
      </c>
      <c r="C33" s="22">
        <v>17225.0</v>
      </c>
      <c r="D33" s="22">
        <v>51543.0</v>
      </c>
      <c r="E33" s="23">
        <f>B33*$J$4</f>
        <v>22647.33</v>
      </c>
      <c r="F33" s="23">
        <f t="shared" si="2"/>
        <v>36861.5</v>
      </c>
    </row>
  </sheetData>
  <drawing r:id="rId1"/>
</worksheet>
</file>